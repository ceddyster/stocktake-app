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dds\Downloads\"/>
    </mc:Choice>
  </mc:AlternateContent>
  <xr:revisionPtr revIDLastSave="0" documentId="8_{66B808B9-D865-4219-8523-A659E95A5BCC}" xr6:coauthVersionLast="47" xr6:coauthVersionMax="47" xr10:uidLastSave="{00000000-0000-0000-0000-000000000000}"/>
  <bookViews>
    <workbookView xWindow="-108" yWindow="-108" windowWidth="23256" windowHeight="13896" xr2:uid="{6462F6AF-5FC7-4989-8F3B-84031FB7D33A}"/>
  </bookViews>
  <sheets>
    <sheet name="Full Stock List" sheetId="8" r:id="rId1"/>
    <sheet name="Bar" sheetId="5" r:id="rId2"/>
    <sheet name="Bar (2)" sheetId="6" r:id="rId3"/>
    <sheet name="Bar (3)" sheetId="7" r:id="rId4"/>
    <sheet name="Source Sheet" sheetId="1" r:id="rId5"/>
  </sheets>
  <definedNames>
    <definedName name="ExternalData_1" localSheetId="1" hidden="1">Bar!$A$1:$E$7</definedName>
    <definedName name="ExternalData_2" localSheetId="2" hidden="1">'Bar (2)'!$A$1:$E$7</definedName>
    <definedName name="ExternalData_3" localSheetId="3" hidden="1">'Bar (3)'!$A$1:$E$7</definedName>
    <definedName name="ExternalData_4" localSheetId="0" hidden="1">'Full Stock List'!$A$1:$E$7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7" l="1"/>
  <c r="F3" i="7"/>
  <c r="I3" i="8" s="1"/>
  <c r="F4" i="7"/>
  <c r="F5" i="7"/>
  <c r="I5" i="8" s="1"/>
  <c r="F6" i="7"/>
  <c r="I6" i="8" s="1"/>
  <c r="F7" i="7"/>
  <c r="F2" i="5"/>
  <c r="F3" i="5"/>
  <c r="F4" i="5"/>
  <c r="G4" i="8" s="1"/>
  <c r="F5" i="5"/>
  <c r="F6" i="5"/>
  <c r="F7" i="5"/>
  <c r="I2" i="8"/>
  <c r="I4" i="8"/>
  <c r="I7" i="8"/>
  <c r="H2" i="8"/>
  <c r="H3" i="8"/>
  <c r="H4" i="8"/>
  <c r="H5" i="8"/>
  <c r="H6" i="8"/>
  <c r="H7" i="8"/>
  <c r="G5" i="8"/>
  <c r="F2" i="6"/>
  <c r="F3" i="6"/>
  <c r="F4" i="6"/>
  <c r="F5" i="6"/>
  <c r="F6" i="6"/>
  <c r="F7" i="6"/>
  <c r="G7" i="8" l="1"/>
  <c r="G6" i="8"/>
  <c r="G2" i="8"/>
  <c r="G3" i="8"/>
  <c r="F7" i="8"/>
  <c r="F6" i="8"/>
  <c r="F5" i="8"/>
  <c r="F4" i="8"/>
  <c r="F3" i="8"/>
  <c r="F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5CBC2F-C7B2-42B4-900D-BF2E01331F34}" keepAlive="1" name="Query - Bar" description="Connection to the 'Bar' query in the workbook." type="5" refreshedVersion="8" background="1" saveData="1">
    <dbPr connection="Provider=Microsoft.Mashup.OleDb.1;Data Source=$Workbook$;Location=Bar;Extended Properties=&quot;&quot;" command="SELECT * FROM [Bar]"/>
  </connection>
  <connection id="2" xr16:uid="{B10F2BDC-1437-4347-9A40-04BB666F5808}" keepAlive="1" name="Query - Bar (2)" description="Connection to the 'Bar (2)' query in the workbook." type="5" refreshedVersion="8" background="1" saveData="1">
    <dbPr connection="Provider=Microsoft.Mashup.OleDb.1;Data Source=$Workbook$;Location=&quot;Bar (2)&quot;;Extended Properties=&quot;&quot;" command="SELECT * FROM [Bar (2)]"/>
  </connection>
  <connection id="3" xr16:uid="{49340585-3953-4DDA-A71D-A83EBB6B0FDA}" keepAlive="1" name="Query - Bar (3)" description="Connection to the 'Bar (3)' query in the workbook." type="5" refreshedVersion="8" background="1" saveData="1">
    <dbPr connection="Provider=Microsoft.Mashup.OleDb.1;Data Source=$Workbook$;Location=&quot;Bar (3)&quot;;Extended Properties=&quot;&quot;" command="SELECT * FROM [Bar (3)]"/>
  </connection>
  <connection id="4" xr16:uid="{8860D033-40C4-4852-84CB-DBA3EB521192}" keepAlive="1" name="Query - Full Stock List" description="Connection to the 'Full Stock List' query in the workbook." type="5" refreshedVersion="8" background="1" saveData="1">
    <dbPr connection="Provider=Microsoft.Mashup.OleDb.1;Data Source=$Workbook$;Location=&quot;Full Stock List&quot;;Extended Properties=&quot;&quot;" command="SELECT * FROM [Full Stock List]"/>
  </connection>
</connections>
</file>

<file path=xl/sharedStrings.xml><?xml version="1.0" encoding="utf-8"?>
<sst xmlns="http://schemas.openxmlformats.org/spreadsheetml/2006/main" count="128" uniqueCount="24">
  <si>
    <t>Item Id</t>
  </si>
  <si>
    <t>Items Name</t>
  </si>
  <si>
    <t>Carton Size</t>
  </si>
  <si>
    <t>Category</t>
  </si>
  <si>
    <t>Sub Category</t>
  </si>
  <si>
    <t>Moet &amp; Chandon</t>
  </si>
  <si>
    <t>Champagne</t>
  </si>
  <si>
    <t>Champagne/Sparkling</t>
  </si>
  <si>
    <t>Veuve Tailhan</t>
  </si>
  <si>
    <t>Sparkling</t>
  </si>
  <si>
    <t>Corona</t>
  </si>
  <si>
    <t>Peroni Nastro</t>
  </si>
  <si>
    <t>Heineken</t>
  </si>
  <si>
    <t>Crown Lager</t>
  </si>
  <si>
    <t>Beer</t>
  </si>
  <si>
    <t>Beer Internation</t>
  </si>
  <si>
    <t>Beer Australia</t>
  </si>
  <si>
    <t>Total</t>
  </si>
  <si>
    <t>Cartons</t>
  </si>
  <si>
    <t>Loose</t>
  </si>
  <si>
    <t>Grand Total</t>
  </si>
  <si>
    <t>Bar Total</t>
  </si>
  <si>
    <t>Bar (2) Total</t>
  </si>
  <si>
    <t>Bar (3)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</si>
</sst>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0" xfId="0" applyNumberFormat="1"/>
    <xf numFmtId="0" fontId="1" fillId="0" borderId="2" xfId="0" applyFont="1" applyBorder="1"/>
    <xf numFmtId="0" fontId="1" fillId="0" borderId="3" xfId="0" applyFont="1" applyBorder="1"/>
    <xf numFmtId="0" fontId="0" fillId="0" borderId="0" xfId="0" applyBorder="1"/>
  </cellXfs>
  <cellStyles count="1">
    <cellStyle name="Normal" xfId="0" builtinId="0"/>
  </cellStyles>
  <dxfs count="28"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4A901D21-549D-4F54-89A9-D4CE11F944D5}" autoFormatId="16" applyNumberFormats="0" applyBorderFormats="0" applyFontFormats="0" applyPatternFormats="0" applyAlignmentFormats="0" applyWidthHeightFormats="0">
  <queryTableRefresh nextId="10" unboundColumnsRight="4">
    <queryTableFields count="9">
      <queryTableField id="1" name="Item Id" tableColumnId="1"/>
      <queryTableField id="2" name="Items Name" tableColumnId="2"/>
      <queryTableField id="3" name="Category" tableColumnId="3"/>
      <queryTableField id="4" name="Sub Category" tableColumnId="4"/>
      <queryTableField id="5" name="Carton Size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8C7B6CD-C50F-4E72-A433-20EC082A7A77}" autoFormatId="16" applyNumberFormats="0" applyBorderFormats="0" applyFontFormats="0" applyPatternFormats="0" applyAlignmentFormats="0" applyWidthHeightFormats="0">
  <queryTableRefresh nextId="9" unboundColumnsRight="3">
    <queryTableFields count="8">
      <queryTableField id="1" name="Item Id" tableColumnId="1"/>
      <queryTableField id="2" name="Items Name" tableColumnId="2"/>
      <queryTableField id="3" name="Category" tableColumnId="3"/>
      <queryTableField id="4" name="Sub Category" tableColumnId="4"/>
      <queryTableField id="5" name="Carton Size" tableColumnId="5"/>
      <queryTableField id="6" dataBound="0" tableColumnId="6"/>
      <queryTableField id="7" dataBound="0" tableColumnId="7"/>
      <queryTableField id="8" dataBound="0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BE1721A-452D-4D22-9607-79D86328AEAD}" autoFormatId="16" applyNumberFormats="0" applyBorderFormats="0" applyFontFormats="0" applyPatternFormats="0" applyAlignmentFormats="0" applyWidthHeightFormats="0">
  <queryTableRefresh nextId="9" unboundColumnsRight="3">
    <queryTableFields count="8">
      <queryTableField id="1" name="Item Id" tableColumnId="1"/>
      <queryTableField id="2" name="Items Name" tableColumnId="2"/>
      <queryTableField id="3" name="Category" tableColumnId="3"/>
      <queryTableField id="4" name="Sub Category" tableColumnId="4"/>
      <queryTableField id="5" name="Carton Size" tableColumnId="5"/>
      <queryTableField id="6" dataBound="0" tableColumnId="6"/>
      <queryTableField id="7" dataBound="0" tableColumnId="7"/>
      <queryTableField id="8" dataBound="0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4872D672-9641-4897-9B05-0500D7DB8E07}" autoFormatId="16" applyNumberFormats="0" applyBorderFormats="0" applyFontFormats="0" applyPatternFormats="0" applyAlignmentFormats="0" applyWidthHeightFormats="0">
  <queryTableRefresh nextId="9" unboundColumnsRight="3">
    <queryTableFields count="8">
      <queryTableField id="1" name="Item Id" tableColumnId="1"/>
      <queryTableField id="2" name="Items Name" tableColumnId="2"/>
      <queryTableField id="3" name="Category" tableColumnId="3"/>
      <queryTableField id="4" name="Sub Category" tableColumnId="4"/>
      <queryTableField id="5" name="Carton Size" tableColumnId="5"/>
      <queryTableField id="6" dataBound="0" tableColumnId="6"/>
      <queryTableField id="7" dataBound="0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79E38EF-E29F-4A58-8A31-503540F2F778}" name="Full_Stock_List" displayName="Full_Stock_List" ref="A1:I7" tableType="queryTable" totalsRowShown="0">
  <autoFilter ref="A1:I7" xr:uid="{879E38EF-E29F-4A58-8A31-503540F2F778}"/>
  <sortState xmlns:xlrd2="http://schemas.microsoft.com/office/spreadsheetml/2017/richdata2" ref="A2:I7">
    <sortCondition ref="A1:A7"/>
  </sortState>
  <tableColumns count="9">
    <tableColumn id="1" xr3:uid="{4284E43C-9F47-4EEA-A95F-BE26CA057F6B}" uniqueName="1" name="Item Id" queryTableFieldId="1"/>
    <tableColumn id="2" xr3:uid="{CD08578F-34FF-491C-AB38-8E4AAC39AE1B}" uniqueName="2" name="Items Name" queryTableFieldId="2" dataDxfId="27"/>
    <tableColumn id="3" xr3:uid="{1FD41CEF-6E92-42FA-88BF-E2DFEA40D0DF}" uniqueName="3" name="Category" queryTableFieldId="3" dataDxfId="26"/>
    <tableColumn id="4" xr3:uid="{9F9FBDFA-7042-43C0-95A7-F44B8B4140C8}" uniqueName="4" name="Sub Category" queryTableFieldId="4" dataDxfId="25"/>
    <tableColumn id="5" xr3:uid="{782DEDF4-22C8-4ADE-8266-5E10083A99F6}" uniqueName="5" name="Carton Size" queryTableFieldId="5"/>
    <tableColumn id="6" xr3:uid="{88D529DB-88E9-4F1D-ACCE-5854E10B5CBF}" uniqueName="6" name="Grand Total" queryTableFieldId="6" dataDxfId="24">
      <calculatedColumnFormula>SUM(Full_Stock_List[[#This Row],[Bar Total]:[Bar (3) Total]])</calculatedColumnFormula>
    </tableColumn>
    <tableColumn id="7" xr3:uid="{484DD377-7674-4126-86DE-8597F9DBF207}" uniqueName="7" name="Bar Total" queryTableFieldId="7" dataDxfId="23">
      <calculatedColumnFormula>Bar[[#This Row],[Total]]</calculatedColumnFormula>
    </tableColumn>
    <tableColumn id="8" xr3:uid="{C59C02E9-D85D-449E-87F8-61147E2875F1}" uniqueName="8" name="Bar (2) Total" queryTableFieldId="8" dataDxfId="22">
      <calculatedColumnFormula>Bar__2[[#This Row],[Total]]</calculatedColumnFormula>
    </tableColumn>
    <tableColumn id="9" xr3:uid="{50D2FA00-D938-4D05-80E0-1181196D205A}" uniqueName="9" name="Bar (3) Total" queryTableFieldId="9" dataDxfId="21">
      <calculatedColumnFormula>Bar__3[[#This Row],[Total]]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D90FF7-8154-408B-AE97-CA010E5D2AE4}" name="Bar" displayName="Bar" ref="A1:H7" tableType="queryTable" totalsRowShown="0">
  <autoFilter ref="A1:H7" xr:uid="{91D90FF7-8154-408B-AE97-CA010E5D2AE4}"/>
  <sortState xmlns:xlrd2="http://schemas.microsoft.com/office/spreadsheetml/2017/richdata2" ref="A2:H7">
    <sortCondition ref="A1:A7"/>
  </sortState>
  <tableColumns count="8">
    <tableColumn id="1" xr3:uid="{63A5AFC4-9593-4996-91B3-316EA006D34F}" uniqueName="1" name="Item Id" queryTableFieldId="1"/>
    <tableColumn id="2" xr3:uid="{1E6A5745-28E6-4DF2-9748-DB69CB3CD2F6}" uniqueName="2" name="Items Name" queryTableFieldId="2" dataDxfId="20"/>
    <tableColumn id="3" xr3:uid="{BAFEDE0A-A3EA-453F-BD08-8E9A510708A0}" uniqueName="3" name="Category" queryTableFieldId="3" dataDxfId="19"/>
    <tableColumn id="4" xr3:uid="{F0C5A401-B5B9-40D3-8464-FCFD5B452BB5}" uniqueName="4" name="Sub Category" queryTableFieldId="4" dataDxfId="18"/>
    <tableColumn id="5" xr3:uid="{61F102DF-FA82-4660-BE43-2DF391F3B51C}" uniqueName="5" name="Carton Size" queryTableFieldId="5"/>
    <tableColumn id="6" xr3:uid="{49ED9017-07E3-4441-945A-DAA5CB03B00B}" uniqueName="6" name="Total" queryTableFieldId="6" dataDxfId="17">
      <calculatedColumnFormula>SUM(Bar[[#This Row],[Loose]]+(Bar[[#This Row],[Cartons]]*Bar[[#This Row],[Carton Size]]))</calculatedColumnFormula>
    </tableColumn>
    <tableColumn id="7" xr3:uid="{7E624877-AB69-45E1-A387-2428B540E8BB}" uniqueName="7" name="Cartons" queryTableFieldId="7" dataDxfId="16"/>
    <tableColumn id="8" xr3:uid="{DD3A6A7C-46F9-45EF-B020-9EED319A124D}" uniqueName="8" name="Loose" queryTableFieldId="8" dataDxf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6C6E82-73E2-4D81-B2E0-637B9E7B5524}" name="Bar__2" displayName="Bar__2" ref="A1:H7" tableType="queryTable" totalsRowShown="0">
  <autoFilter ref="A1:H7" xr:uid="{916C6E82-73E2-4D81-B2E0-637B9E7B5524}"/>
  <tableColumns count="8">
    <tableColumn id="1" xr3:uid="{69B051C6-A354-48B1-9650-CEA8093FF138}" uniqueName="1" name="Item Id" queryTableFieldId="1"/>
    <tableColumn id="2" xr3:uid="{153850D7-813A-41A8-BD23-017F09F26241}" uniqueName="2" name="Items Name" queryTableFieldId="2" dataDxfId="14"/>
    <tableColumn id="3" xr3:uid="{303DA6A0-CADF-4165-B424-EA912C17CF01}" uniqueName="3" name="Category" queryTableFieldId="3" dataDxfId="13"/>
    <tableColumn id="4" xr3:uid="{4CE58ABA-B994-47D2-BE29-1FF9BEF9DAFF}" uniqueName="4" name="Sub Category" queryTableFieldId="4" dataDxfId="12"/>
    <tableColumn id="5" xr3:uid="{980BEDA7-D669-4652-A6C4-5625F3A7673B}" uniqueName="5" name="Carton Size" queryTableFieldId="5"/>
    <tableColumn id="6" xr3:uid="{7BE788AD-2348-4919-9CA0-8BAF9234D380}" uniqueName="6" name="Total" queryTableFieldId="6" dataDxfId="11">
      <calculatedColumnFormula>SUM(Bar__2[[#This Row],[Loose]]+(Bar__2[[#This Row],[Cartons]]*Bar__2[[#This Row],[Carton Size]]))</calculatedColumnFormula>
    </tableColumn>
    <tableColumn id="7" xr3:uid="{167E8E90-988D-4735-BFDB-3ECED36EBF3B}" uniqueName="7" name="Cartons" queryTableFieldId="7" dataDxfId="10"/>
    <tableColumn id="8" xr3:uid="{E7413DE6-D39E-46A9-BD6E-8D1061243904}" uniqueName="8" name="Loose" queryTableFieldId="8" dataDxf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B391581-7575-4E47-85A8-9FF3E9BC1F73}" name="Bar__3" displayName="Bar__3" ref="A1:H7" tableType="queryTable" totalsRowShown="0">
  <autoFilter ref="A1:H7" xr:uid="{DB391581-7575-4E47-85A8-9FF3E9BC1F73}"/>
  <tableColumns count="8">
    <tableColumn id="1" xr3:uid="{28FAB1BF-4BDE-41AB-8F1A-BF560F67BC98}" uniqueName="1" name="Item Id" queryTableFieldId="1"/>
    <tableColumn id="2" xr3:uid="{B2E792A7-57D8-4986-B076-A3F066B5B7CE}" uniqueName="2" name="Items Name" queryTableFieldId="2" dataDxfId="8"/>
    <tableColumn id="3" xr3:uid="{8EB2CC3D-BDF8-43BD-B016-07E482068EF7}" uniqueName="3" name="Category" queryTableFieldId="3" dataDxfId="7"/>
    <tableColumn id="4" xr3:uid="{5F94756B-1DAD-49A9-A5DC-33268F6D4D05}" uniqueName="4" name="Sub Category" queryTableFieldId="4" dataDxfId="6"/>
    <tableColumn id="5" xr3:uid="{6A47FFA8-1F56-4404-84E0-A2E1D9F97484}" uniqueName="5" name="Carton Size" queryTableFieldId="5"/>
    <tableColumn id="6" xr3:uid="{3932CB43-2636-4908-AE4D-D49A3F40C4C1}" uniqueName="6" name="Total" queryTableFieldId="6" dataDxfId="5">
      <calculatedColumnFormula>SUM(Bar__3[[#This Row],[Loose]]+(Bar__3[[#This Row],[Cartons]]*Bar__3[[#This Row],[Carton Size]]))</calculatedColumnFormula>
    </tableColumn>
    <tableColumn id="7" xr3:uid="{5D4BBBAF-6683-472C-BB05-C5AE6A7CD262}" uniqueName="7" name="Cartons" queryTableFieldId="7" dataDxfId="4"/>
    <tableColumn id="8" xr3:uid="{40BCAD76-47E7-40D5-B071-8D3CA276CE97}" uniqueName="8" name="Loose" queryTableFieldId="8" dataDxf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3B27FE-A402-468A-A273-6BC7D304BF18}" name="Table1" displayName="Table1" ref="A1:E7" totalsRowShown="0" headerRowDxfId="2" headerRowBorderDxfId="1" tableBorderDxfId="0">
  <autoFilter ref="A1:E7" xr:uid="{CA3B27FE-A402-468A-A273-6BC7D304BF18}"/>
  <tableColumns count="5">
    <tableColumn id="1" xr3:uid="{970CB7A9-7730-4513-BAEF-9AC9FB64F1CF}" name="Item Id"/>
    <tableColumn id="2" xr3:uid="{0F7FC493-237B-456F-9C7D-553D9F607064}" name="Items Name"/>
    <tableColumn id="3" xr3:uid="{B54F5E29-6148-4829-97C0-DFDD202BAB7F}" name="Category"/>
    <tableColumn id="4" xr3:uid="{F57C840A-4388-4060-88F4-CA4977160A24}" name="Sub Category"/>
    <tableColumn id="5" xr3:uid="{140F2BB7-AFE3-4D76-B113-45543B8AB340}" name="Carton Siz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60E58-ED8F-4933-8BEC-19FFA7262909}">
  <dimension ref="A1:I7"/>
  <sheetViews>
    <sheetView tabSelected="1" workbookViewId="0">
      <selection activeCell="G2" sqref="G2"/>
    </sheetView>
  </sheetViews>
  <sheetFormatPr defaultRowHeight="13.8"/>
  <cols>
    <col min="1" max="1" width="9.59765625" bestFit="1" customWidth="1"/>
    <col min="2" max="2" width="15.59765625" bestFit="1" customWidth="1"/>
    <col min="3" max="3" width="20.8984375" bestFit="1" customWidth="1"/>
    <col min="4" max="4" width="15.3984375" bestFit="1" customWidth="1"/>
    <col min="5" max="5" width="13.59765625" bestFit="1" customWidth="1"/>
    <col min="6" max="6" width="12.59765625" customWidth="1"/>
  </cols>
  <sheetData>
    <row r="1" spans="1:9">
      <c r="A1" t="s">
        <v>0</v>
      </c>
      <c r="B1" t="s">
        <v>1</v>
      </c>
      <c r="C1" t="s">
        <v>3</v>
      </c>
      <c r="D1" t="s">
        <v>4</v>
      </c>
      <c r="E1" t="s">
        <v>2</v>
      </c>
      <c r="F1" t="s">
        <v>20</v>
      </c>
      <c r="G1" t="s">
        <v>21</v>
      </c>
      <c r="H1" t="s">
        <v>22</v>
      </c>
      <c r="I1" t="s">
        <v>23</v>
      </c>
    </row>
    <row r="2" spans="1:9">
      <c r="A2">
        <v>1</v>
      </c>
      <c r="B2" s="2" t="s">
        <v>5</v>
      </c>
      <c r="C2" s="2" t="s">
        <v>7</v>
      </c>
      <c r="D2" s="2" t="s">
        <v>6</v>
      </c>
      <c r="E2">
        <v>6</v>
      </c>
      <c r="F2" s="2">
        <f>SUM(Full_Stock_List[[#This Row],[Bar Total]:[Bar (3) Total]])</f>
        <v>21</v>
      </c>
      <c r="G2" s="2">
        <f>Bar[[#This Row],[Total]]</f>
        <v>7</v>
      </c>
      <c r="H2" s="2">
        <f>Bar__2[[#This Row],[Total]]</f>
        <v>7</v>
      </c>
      <c r="I2" s="2">
        <f>Bar__3[[#This Row],[Total]]</f>
        <v>7</v>
      </c>
    </row>
    <row r="3" spans="1:9">
      <c r="A3">
        <v>2</v>
      </c>
      <c r="B3" s="2" t="s">
        <v>8</v>
      </c>
      <c r="C3" s="2" t="s">
        <v>7</v>
      </c>
      <c r="D3" s="2" t="s">
        <v>9</v>
      </c>
      <c r="E3">
        <v>12</v>
      </c>
      <c r="F3" s="2">
        <f>SUM(Full_Stock_List[[#This Row],[Bar Total]:[Bar (3) Total]])</f>
        <v>39</v>
      </c>
      <c r="G3" s="2">
        <f>Bar[[#This Row],[Total]]</f>
        <v>13</v>
      </c>
      <c r="H3" s="2">
        <f>Bar__2[[#This Row],[Total]]</f>
        <v>13</v>
      </c>
      <c r="I3" s="2">
        <f>Bar__3[[#This Row],[Total]]</f>
        <v>13</v>
      </c>
    </row>
    <row r="4" spans="1:9">
      <c r="A4">
        <v>3</v>
      </c>
      <c r="B4" s="2" t="s">
        <v>10</v>
      </c>
      <c r="C4" s="2" t="s">
        <v>14</v>
      </c>
      <c r="D4" s="2" t="s">
        <v>15</v>
      </c>
      <c r="E4">
        <v>24</v>
      </c>
      <c r="F4" s="2">
        <f>SUM(Full_Stock_List[[#This Row],[Bar Total]:[Bar (3) Total]])</f>
        <v>75</v>
      </c>
      <c r="G4" s="2">
        <f>Bar[[#This Row],[Total]]</f>
        <v>25</v>
      </c>
      <c r="H4" s="2">
        <f>Bar__2[[#This Row],[Total]]</f>
        <v>25</v>
      </c>
      <c r="I4" s="2">
        <f>Bar__3[[#This Row],[Total]]</f>
        <v>25</v>
      </c>
    </row>
    <row r="5" spans="1:9">
      <c r="A5">
        <v>4</v>
      </c>
      <c r="B5" s="2" t="s">
        <v>11</v>
      </c>
      <c r="C5" s="2" t="s">
        <v>14</v>
      </c>
      <c r="D5" s="2" t="s">
        <v>15</v>
      </c>
      <c r="E5">
        <v>24</v>
      </c>
      <c r="F5" s="2">
        <f>SUM(Full_Stock_List[[#This Row],[Bar Total]:[Bar (3) Total]])</f>
        <v>75</v>
      </c>
      <c r="G5" s="2">
        <f>Bar[[#This Row],[Total]]</f>
        <v>25</v>
      </c>
      <c r="H5" s="2">
        <f>Bar__2[[#This Row],[Total]]</f>
        <v>25</v>
      </c>
      <c r="I5" s="2">
        <f>Bar__3[[#This Row],[Total]]</f>
        <v>25</v>
      </c>
    </row>
    <row r="6" spans="1:9">
      <c r="A6">
        <v>5</v>
      </c>
      <c r="B6" s="2" t="s">
        <v>12</v>
      </c>
      <c r="C6" s="2" t="s">
        <v>14</v>
      </c>
      <c r="D6" s="2" t="s">
        <v>15</v>
      </c>
      <c r="E6">
        <v>24</v>
      </c>
      <c r="F6" s="2">
        <f>SUM(Full_Stock_List[[#This Row],[Bar Total]:[Bar (3) Total]])</f>
        <v>75</v>
      </c>
      <c r="G6" s="2">
        <f>Bar[[#This Row],[Total]]</f>
        <v>25</v>
      </c>
      <c r="H6" s="2">
        <f>Bar__2[[#This Row],[Total]]</f>
        <v>25</v>
      </c>
      <c r="I6" s="2">
        <f>Bar__3[[#This Row],[Total]]</f>
        <v>25</v>
      </c>
    </row>
    <row r="7" spans="1:9">
      <c r="A7">
        <v>6</v>
      </c>
      <c r="B7" s="2" t="s">
        <v>13</v>
      </c>
      <c r="C7" s="2" t="s">
        <v>14</v>
      </c>
      <c r="D7" s="2" t="s">
        <v>16</v>
      </c>
      <c r="E7">
        <v>24</v>
      </c>
      <c r="F7" s="2">
        <f>SUM(Full_Stock_List[[#This Row],[Bar Total]:[Bar (3) Total]])</f>
        <v>75</v>
      </c>
      <c r="G7" s="2">
        <f>Bar[[#This Row],[Total]]</f>
        <v>25</v>
      </c>
      <c r="H7" s="2">
        <f>Bar__2[[#This Row],[Total]]</f>
        <v>25</v>
      </c>
      <c r="I7" s="2">
        <f>Bar__3[[#This Row],[Total]]</f>
        <v>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56D7F-A7DD-4AA2-ABEA-A2CC7D351197}">
  <dimension ref="A1:H7"/>
  <sheetViews>
    <sheetView workbookViewId="0">
      <selection activeCell="B1" sqref="B1"/>
    </sheetView>
  </sheetViews>
  <sheetFormatPr defaultRowHeight="13.8"/>
  <cols>
    <col min="1" max="1" width="9.59765625" bestFit="1" customWidth="1"/>
    <col min="2" max="2" width="15.59765625" bestFit="1" customWidth="1"/>
    <col min="3" max="3" width="20.8984375" bestFit="1" customWidth="1"/>
    <col min="4" max="4" width="15.3984375" bestFit="1" customWidth="1"/>
    <col min="5" max="5" width="13.59765625" bestFit="1" customWidth="1"/>
  </cols>
  <sheetData>
    <row r="1" spans="1:8">
      <c r="A1" t="s">
        <v>0</v>
      </c>
      <c r="B1" t="s">
        <v>1</v>
      </c>
      <c r="C1" t="s">
        <v>3</v>
      </c>
      <c r="D1" t="s">
        <v>4</v>
      </c>
      <c r="E1" t="s">
        <v>2</v>
      </c>
      <c r="F1" t="s">
        <v>17</v>
      </c>
      <c r="G1" t="s">
        <v>18</v>
      </c>
      <c r="H1" t="s">
        <v>19</v>
      </c>
    </row>
    <row r="2" spans="1:8">
      <c r="A2">
        <v>1</v>
      </c>
      <c r="B2" s="2" t="s">
        <v>5</v>
      </c>
      <c r="C2" s="2" t="s">
        <v>7</v>
      </c>
      <c r="D2" s="2" t="s">
        <v>6</v>
      </c>
      <c r="E2">
        <v>6</v>
      </c>
      <c r="F2" s="2">
        <f>SUM(Bar[[#This Row],[Loose]]+(Bar[[#This Row],[Cartons]]*Bar[[#This Row],[Carton Size]]))</f>
        <v>7</v>
      </c>
      <c r="G2" s="2">
        <v>1</v>
      </c>
      <c r="H2" s="2">
        <v>1</v>
      </c>
    </row>
    <row r="3" spans="1:8">
      <c r="A3">
        <v>2</v>
      </c>
      <c r="B3" s="2" t="s">
        <v>8</v>
      </c>
      <c r="C3" s="2" t="s">
        <v>7</v>
      </c>
      <c r="D3" s="2" t="s">
        <v>9</v>
      </c>
      <c r="E3">
        <v>12</v>
      </c>
      <c r="F3" s="2">
        <f>SUM(Bar[[#This Row],[Loose]]+(Bar[[#This Row],[Cartons]]*Bar[[#This Row],[Carton Size]]))</f>
        <v>13</v>
      </c>
      <c r="G3" s="2">
        <v>1</v>
      </c>
      <c r="H3" s="2">
        <v>1</v>
      </c>
    </row>
    <row r="4" spans="1:8">
      <c r="A4">
        <v>3</v>
      </c>
      <c r="B4" s="2" t="s">
        <v>10</v>
      </c>
      <c r="C4" s="2" t="s">
        <v>14</v>
      </c>
      <c r="D4" s="2" t="s">
        <v>15</v>
      </c>
      <c r="E4">
        <v>24</v>
      </c>
      <c r="F4" s="2">
        <f>SUM(Bar[[#This Row],[Loose]]+(Bar[[#This Row],[Cartons]]*Bar[[#This Row],[Carton Size]]))</f>
        <v>25</v>
      </c>
      <c r="G4" s="2">
        <v>1</v>
      </c>
      <c r="H4" s="2">
        <v>1</v>
      </c>
    </row>
    <row r="5" spans="1:8">
      <c r="A5">
        <v>4</v>
      </c>
      <c r="B5" s="2" t="s">
        <v>11</v>
      </c>
      <c r="C5" s="2" t="s">
        <v>14</v>
      </c>
      <c r="D5" s="2" t="s">
        <v>15</v>
      </c>
      <c r="E5">
        <v>24</v>
      </c>
      <c r="F5" s="2">
        <f>SUM(Bar[[#This Row],[Loose]]+(Bar[[#This Row],[Cartons]]*Bar[[#This Row],[Carton Size]]))</f>
        <v>25</v>
      </c>
      <c r="G5" s="2">
        <v>1</v>
      </c>
      <c r="H5" s="2">
        <v>1</v>
      </c>
    </row>
    <row r="6" spans="1:8">
      <c r="A6">
        <v>5</v>
      </c>
      <c r="B6" s="2" t="s">
        <v>12</v>
      </c>
      <c r="C6" s="2" t="s">
        <v>14</v>
      </c>
      <c r="D6" s="2" t="s">
        <v>15</v>
      </c>
      <c r="E6">
        <v>24</v>
      </c>
      <c r="F6" s="2">
        <f>SUM(Bar[[#This Row],[Loose]]+(Bar[[#This Row],[Cartons]]*Bar[[#This Row],[Carton Size]]))</f>
        <v>25</v>
      </c>
      <c r="G6" s="2">
        <v>1</v>
      </c>
      <c r="H6" s="2">
        <v>1</v>
      </c>
    </row>
    <row r="7" spans="1:8">
      <c r="A7">
        <v>6</v>
      </c>
      <c r="B7" s="2" t="s">
        <v>13</v>
      </c>
      <c r="C7" s="2" t="s">
        <v>14</v>
      </c>
      <c r="D7" s="2" t="s">
        <v>16</v>
      </c>
      <c r="E7">
        <v>24</v>
      </c>
      <c r="F7" s="2">
        <f>SUM(Bar[[#This Row],[Loose]]+(Bar[[#This Row],[Cartons]]*Bar[[#This Row],[Carton Size]]))</f>
        <v>25</v>
      </c>
      <c r="G7" s="2">
        <v>1</v>
      </c>
      <c r="H7" s="2">
        <v>1</v>
      </c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87EC1-3074-4168-8375-111D856CA395}">
  <dimension ref="A1:H7"/>
  <sheetViews>
    <sheetView workbookViewId="0">
      <selection activeCell="F2" sqref="F2"/>
    </sheetView>
  </sheetViews>
  <sheetFormatPr defaultRowHeight="13.8"/>
  <cols>
    <col min="1" max="1" width="9.59765625" bestFit="1" customWidth="1"/>
    <col min="2" max="2" width="15.59765625" bestFit="1" customWidth="1"/>
    <col min="3" max="3" width="20.8984375" bestFit="1" customWidth="1"/>
    <col min="4" max="4" width="15.3984375" bestFit="1" customWidth="1"/>
    <col min="5" max="5" width="13.59765625" bestFit="1" customWidth="1"/>
    <col min="6" max="6" width="11.296875" customWidth="1"/>
    <col min="7" max="7" width="14" customWidth="1"/>
    <col min="8" max="8" width="15" customWidth="1"/>
  </cols>
  <sheetData>
    <row r="1" spans="1:8">
      <c r="A1" t="s">
        <v>0</v>
      </c>
      <c r="B1" t="s">
        <v>1</v>
      </c>
      <c r="C1" t="s">
        <v>3</v>
      </c>
      <c r="D1" t="s">
        <v>4</v>
      </c>
      <c r="E1" t="s">
        <v>2</v>
      </c>
      <c r="F1" t="s">
        <v>17</v>
      </c>
      <c r="G1" t="s">
        <v>18</v>
      </c>
      <c r="H1" t="s">
        <v>19</v>
      </c>
    </row>
    <row r="2" spans="1:8">
      <c r="A2">
        <v>1</v>
      </c>
      <c r="B2" s="2" t="s">
        <v>5</v>
      </c>
      <c r="C2" s="2" t="s">
        <v>7</v>
      </c>
      <c r="D2" s="2" t="s">
        <v>6</v>
      </c>
      <c r="E2">
        <v>6</v>
      </c>
      <c r="F2" s="2">
        <f>SUM(Bar__2[[#This Row],[Loose]]+(Bar__2[[#This Row],[Cartons]]*Bar__2[[#This Row],[Carton Size]]))</f>
        <v>7</v>
      </c>
      <c r="G2" s="2">
        <v>1</v>
      </c>
      <c r="H2" s="2">
        <v>1</v>
      </c>
    </row>
    <row r="3" spans="1:8">
      <c r="A3">
        <v>2</v>
      </c>
      <c r="B3" s="2" t="s">
        <v>8</v>
      </c>
      <c r="C3" s="2" t="s">
        <v>7</v>
      </c>
      <c r="D3" s="2" t="s">
        <v>9</v>
      </c>
      <c r="E3">
        <v>12</v>
      </c>
      <c r="F3" s="2">
        <f>SUM(Bar__2[[#This Row],[Loose]]+(Bar__2[[#This Row],[Cartons]]*Bar__2[[#This Row],[Carton Size]]))</f>
        <v>13</v>
      </c>
      <c r="G3" s="2">
        <v>1</v>
      </c>
      <c r="H3" s="2">
        <v>1</v>
      </c>
    </row>
    <row r="4" spans="1:8">
      <c r="A4">
        <v>3</v>
      </c>
      <c r="B4" s="2" t="s">
        <v>10</v>
      </c>
      <c r="C4" s="2" t="s">
        <v>14</v>
      </c>
      <c r="D4" s="2" t="s">
        <v>15</v>
      </c>
      <c r="E4">
        <v>24</v>
      </c>
      <c r="F4" s="2">
        <f>SUM(Bar__2[[#This Row],[Loose]]+(Bar__2[[#This Row],[Cartons]]*Bar__2[[#This Row],[Carton Size]]))</f>
        <v>25</v>
      </c>
      <c r="G4" s="2">
        <v>1</v>
      </c>
      <c r="H4" s="2">
        <v>1</v>
      </c>
    </row>
    <row r="5" spans="1:8">
      <c r="A5">
        <v>4</v>
      </c>
      <c r="B5" s="2" t="s">
        <v>11</v>
      </c>
      <c r="C5" s="2" t="s">
        <v>14</v>
      </c>
      <c r="D5" s="2" t="s">
        <v>15</v>
      </c>
      <c r="E5">
        <v>24</v>
      </c>
      <c r="F5" s="2">
        <f>SUM(Bar__2[[#This Row],[Loose]]+(Bar__2[[#This Row],[Cartons]]*Bar__2[[#This Row],[Carton Size]]))</f>
        <v>25</v>
      </c>
      <c r="G5" s="2">
        <v>1</v>
      </c>
      <c r="H5" s="2">
        <v>1</v>
      </c>
    </row>
    <row r="6" spans="1:8">
      <c r="A6">
        <v>5</v>
      </c>
      <c r="B6" s="2" t="s">
        <v>12</v>
      </c>
      <c r="C6" s="2" t="s">
        <v>14</v>
      </c>
      <c r="D6" s="2" t="s">
        <v>15</v>
      </c>
      <c r="E6">
        <v>24</v>
      </c>
      <c r="F6" s="2">
        <f>SUM(Bar__2[[#This Row],[Loose]]+(Bar__2[[#This Row],[Cartons]]*Bar__2[[#This Row],[Carton Size]]))</f>
        <v>25</v>
      </c>
      <c r="G6" s="2">
        <v>1</v>
      </c>
      <c r="H6" s="2">
        <v>1</v>
      </c>
    </row>
    <row r="7" spans="1:8">
      <c r="A7">
        <v>6</v>
      </c>
      <c r="B7" s="2" t="s">
        <v>13</v>
      </c>
      <c r="C7" s="2" t="s">
        <v>14</v>
      </c>
      <c r="D7" s="2" t="s">
        <v>16</v>
      </c>
      <c r="E7">
        <v>24</v>
      </c>
      <c r="F7" s="2">
        <f>SUM(Bar__2[[#This Row],[Loose]]+(Bar__2[[#This Row],[Cartons]]*Bar__2[[#This Row],[Carton Size]]))</f>
        <v>25</v>
      </c>
      <c r="G7" s="2">
        <v>1</v>
      </c>
      <c r="H7" s="2">
        <v>1</v>
      </c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0AA1A-8EA8-44C4-A329-D1B20FF6B0AD}">
  <dimension ref="A1:H7"/>
  <sheetViews>
    <sheetView workbookViewId="0">
      <selection activeCell="L16" sqref="L16"/>
    </sheetView>
  </sheetViews>
  <sheetFormatPr defaultRowHeight="13.8"/>
  <cols>
    <col min="1" max="1" width="9.59765625" bestFit="1" customWidth="1"/>
    <col min="2" max="2" width="15.59765625" bestFit="1" customWidth="1"/>
    <col min="3" max="3" width="20.8984375" bestFit="1" customWidth="1"/>
    <col min="4" max="4" width="15.3984375" bestFit="1" customWidth="1"/>
    <col min="5" max="5" width="13.59765625" bestFit="1" customWidth="1"/>
  </cols>
  <sheetData>
    <row r="1" spans="1:8">
      <c r="A1" t="s">
        <v>0</v>
      </c>
      <c r="B1" t="s">
        <v>1</v>
      </c>
      <c r="C1" t="s">
        <v>3</v>
      </c>
      <c r="D1" t="s">
        <v>4</v>
      </c>
      <c r="E1" t="s">
        <v>2</v>
      </c>
      <c r="F1" t="s">
        <v>17</v>
      </c>
      <c r="G1" t="s">
        <v>18</v>
      </c>
      <c r="H1" t="s">
        <v>19</v>
      </c>
    </row>
    <row r="2" spans="1:8">
      <c r="A2">
        <v>1</v>
      </c>
      <c r="B2" s="2" t="s">
        <v>5</v>
      </c>
      <c r="C2" s="2" t="s">
        <v>7</v>
      </c>
      <c r="D2" s="2" t="s">
        <v>6</v>
      </c>
      <c r="E2">
        <v>6</v>
      </c>
      <c r="F2" s="2">
        <f>SUM(Bar__3[[#This Row],[Loose]]+(Bar__3[[#This Row],[Cartons]]*Bar__3[[#This Row],[Carton Size]]))</f>
        <v>7</v>
      </c>
      <c r="G2" s="2">
        <v>1</v>
      </c>
      <c r="H2" s="2">
        <v>1</v>
      </c>
    </row>
    <row r="3" spans="1:8">
      <c r="A3">
        <v>2</v>
      </c>
      <c r="B3" s="2" t="s">
        <v>8</v>
      </c>
      <c r="C3" s="2" t="s">
        <v>7</v>
      </c>
      <c r="D3" s="2" t="s">
        <v>9</v>
      </c>
      <c r="E3">
        <v>12</v>
      </c>
      <c r="F3" s="2">
        <f>SUM(Bar__3[[#This Row],[Loose]]+(Bar__3[[#This Row],[Cartons]]*Bar__3[[#This Row],[Carton Size]]))</f>
        <v>13</v>
      </c>
      <c r="G3" s="2">
        <v>1</v>
      </c>
      <c r="H3" s="2">
        <v>1</v>
      </c>
    </row>
    <row r="4" spans="1:8">
      <c r="A4">
        <v>3</v>
      </c>
      <c r="B4" s="2" t="s">
        <v>10</v>
      </c>
      <c r="C4" s="2" t="s">
        <v>14</v>
      </c>
      <c r="D4" s="2" t="s">
        <v>15</v>
      </c>
      <c r="E4">
        <v>24</v>
      </c>
      <c r="F4" s="2">
        <f>SUM(Bar__3[[#This Row],[Loose]]+(Bar__3[[#This Row],[Cartons]]*Bar__3[[#This Row],[Carton Size]]))</f>
        <v>25</v>
      </c>
      <c r="G4" s="2">
        <v>1</v>
      </c>
      <c r="H4" s="2">
        <v>1</v>
      </c>
    </row>
    <row r="5" spans="1:8">
      <c r="A5">
        <v>4</v>
      </c>
      <c r="B5" s="2" t="s">
        <v>11</v>
      </c>
      <c r="C5" s="2" t="s">
        <v>14</v>
      </c>
      <c r="D5" s="2" t="s">
        <v>15</v>
      </c>
      <c r="E5">
        <v>24</v>
      </c>
      <c r="F5" s="2">
        <f>SUM(Bar__3[[#This Row],[Loose]]+(Bar__3[[#This Row],[Cartons]]*Bar__3[[#This Row],[Carton Size]]))</f>
        <v>25</v>
      </c>
      <c r="G5" s="2">
        <v>1</v>
      </c>
      <c r="H5" s="2">
        <v>1</v>
      </c>
    </row>
    <row r="6" spans="1:8">
      <c r="A6">
        <v>5</v>
      </c>
      <c r="B6" s="2" t="s">
        <v>12</v>
      </c>
      <c r="C6" s="2" t="s">
        <v>14</v>
      </c>
      <c r="D6" s="2" t="s">
        <v>15</v>
      </c>
      <c r="E6">
        <v>24</v>
      </c>
      <c r="F6" s="2">
        <f>SUM(Bar__3[[#This Row],[Loose]]+(Bar__3[[#This Row],[Cartons]]*Bar__3[[#This Row],[Carton Size]]))</f>
        <v>25</v>
      </c>
      <c r="G6" s="2">
        <v>1</v>
      </c>
      <c r="H6" s="2">
        <v>1</v>
      </c>
    </row>
    <row r="7" spans="1:8">
      <c r="A7">
        <v>6</v>
      </c>
      <c r="B7" s="2" t="s">
        <v>13</v>
      </c>
      <c r="C7" s="2" t="s">
        <v>14</v>
      </c>
      <c r="D7" s="2" t="s">
        <v>16</v>
      </c>
      <c r="E7">
        <v>24</v>
      </c>
      <c r="F7" s="2">
        <f>SUM(Bar__3[[#This Row],[Loose]]+(Bar__3[[#This Row],[Cartons]]*Bar__3[[#This Row],[Carton Size]]))</f>
        <v>25</v>
      </c>
      <c r="G7" s="2">
        <v>1</v>
      </c>
      <c r="H7" s="2">
        <v>1</v>
      </c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01C86-3579-48EB-9DED-0BA32F916ED3}">
  <dimension ref="A1:E7"/>
  <sheetViews>
    <sheetView workbookViewId="0">
      <selection activeCell="C30" sqref="C30"/>
    </sheetView>
  </sheetViews>
  <sheetFormatPr defaultRowHeight="13.8"/>
  <cols>
    <col min="1" max="1" width="9.3984375" customWidth="1"/>
    <col min="2" max="4" width="26.59765625" customWidth="1"/>
    <col min="5" max="5" width="13.3984375" customWidth="1"/>
  </cols>
  <sheetData>
    <row r="1" spans="1:5">
      <c r="A1" s="3" t="s">
        <v>0</v>
      </c>
      <c r="B1" s="1" t="s">
        <v>1</v>
      </c>
      <c r="C1" s="1" t="s">
        <v>3</v>
      </c>
      <c r="D1" s="1" t="s">
        <v>4</v>
      </c>
      <c r="E1" s="4" t="s">
        <v>2</v>
      </c>
    </row>
    <row r="2" spans="1:5">
      <c r="A2" s="5">
        <v>1</v>
      </c>
      <c r="B2" s="5" t="s">
        <v>5</v>
      </c>
      <c r="C2" s="5" t="s">
        <v>7</v>
      </c>
      <c r="D2" s="5" t="s">
        <v>6</v>
      </c>
      <c r="E2" s="5">
        <v>6</v>
      </c>
    </row>
    <row r="3" spans="1:5">
      <c r="A3" s="5">
        <v>2</v>
      </c>
      <c r="B3" s="5" t="s">
        <v>8</v>
      </c>
      <c r="C3" s="5" t="s">
        <v>7</v>
      </c>
      <c r="D3" s="5" t="s">
        <v>9</v>
      </c>
      <c r="E3" s="5">
        <v>12</v>
      </c>
    </row>
    <row r="4" spans="1:5">
      <c r="A4" s="5">
        <v>3</v>
      </c>
      <c r="B4" s="5" t="s">
        <v>10</v>
      </c>
      <c r="C4" s="5" t="s">
        <v>14</v>
      </c>
      <c r="D4" s="5" t="s">
        <v>15</v>
      </c>
      <c r="E4" s="5">
        <v>24</v>
      </c>
    </row>
    <row r="5" spans="1:5">
      <c r="A5" s="5">
        <v>4</v>
      </c>
      <c r="B5" s="5" t="s">
        <v>11</v>
      </c>
      <c r="C5" s="5" t="s">
        <v>14</v>
      </c>
      <c r="D5" s="5" t="s">
        <v>15</v>
      </c>
      <c r="E5" s="5">
        <v>24</v>
      </c>
    </row>
    <row r="6" spans="1:5">
      <c r="A6" s="5">
        <v>5</v>
      </c>
      <c r="B6" s="5" t="s">
        <v>12</v>
      </c>
      <c r="C6" s="5" t="s">
        <v>14</v>
      </c>
      <c r="D6" s="5" t="s">
        <v>15</v>
      </c>
      <c r="E6" s="5">
        <v>24</v>
      </c>
    </row>
    <row r="7" spans="1:5">
      <c r="A7" s="5">
        <v>6</v>
      </c>
      <c r="B7" s="5" t="s">
        <v>13</v>
      </c>
      <c r="C7" s="5" t="s">
        <v>14</v>
      </c>
      <c r="D7" s="5" t="s">
        <v>16</v>
      </c>
      <c r="E7" s="5">
        <v>24</v>
      </c>
    </row>
  </sheetData>
  <sheetProtection sheet="1" objects="1" scenarios="1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C38BE6-5306-4CCA-A640-1DA384689A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Full Stock List</vt:lpstr>
      <vt:lpstr>Bar</vt:lpstr>
      <vt:lpstr>Bar (2)</vt:lpstr>
      <vt:lpstr>Bar (3)</vt:lpstr>
      <vt:lpstr>Source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Cedric Dos Santos</dc:creator>
  <cp:lastModifiedBy>Cedric Dos Santos</cp:lastModifiedBy>
  <dcterms:created xsi:type="dcterms:W3CDTF">2026-07-15T05:34:47Z</dcterms:created>
  <dcterms:modified xsi:type="dcterms:W3CDTF">2026-07-16T11:03:13Z</dcterms:modified>
</cp:coreProperties>
</file>