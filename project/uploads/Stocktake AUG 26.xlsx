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edds\Downloads\"/>
    </mc:Choice>
  </mc:AlternateContent>
  <xr:revisionPtr revIDLastSave="0" documentId="13_ncr:1_{1DE83597-7C40-45C0-9791-9DC65C905000}" xr6:coauthVersionLast="47" xr6:coauthVersionMax="47" xr10:uidLastSave="{00000000-0000-0000-0000-000000000000}"/>
  <bookViews>
    <workbookView xWindow="-108" yWindow="-108" windowWidth="23256" windowHeight="13896" activeTab="18" xr2:uid="{DE5A05B1-8476-43AB-8116-A16D12A55E36}"/>
  </bookViews>
  <sheets>
    <sheet name="Full Stock List" sheetId="2" r:id="rId1"/>
    <sheet name="Juice Fridge" sheetId="3" r:id="rId2"/>
    <sheet name="Upper Keg" sheetId="4" r:id="rId3"/>
    <sheet name="Astral Bar" sheetId="5" r:id="rId4"/>
    <sheet name="GB1 Bar" sheetId="6" r:id="rId5"/>
    <sheet name="GB2 Bar" sheetId="7" r:id="rId6"/>
    <sheet name="CB1 Bar" sheetId="8" r:id="rId7"/>
    <sheet name="CB2 Bar" sheetId="9" r:id="rId8"/>
    <sheet name="CB3 Bar" sheetId="10" r:id="rId9"/>
    <sheet name="Spirits Room" sheetId="11" r:id="rId10"/>
    <sheet name="White Wine Fridge" sheetId="12" r:id="rId11"/>
    <sheet name="Lower Keg" sheetId="13" r:id="rId12"/>
    <sheet name="Botanical Storeroom" sheetId="14" r:id="rId13"/>
    <sheet name="Botanical Bar" sheetId="16" r:id="rId14"/>
    <sheet name="Loading Dock Fridge" sheetId="17" r:id="rId15"/>
    <sheet name="Postmix Loading Dock" sheetId="18" r:id="rId16"/>
    <sheet name="Postmix Lower Keg" sheetId="19" r:id="rId17"/>
    <sheet name="Postmix TWR" sheetId="20" r:id="rId18"/>
    <sheet name="MASTER STOCK LIST" sheetId="1" r:id="rId19"/>
    <sheet name="Other Items" sheetId="21" r:id="rId20"/>
  </sheets>
  <definedNames>
    <definedName name="ExternalData_1" localSheetId="3" hidden="1">'Astral Bar'!$A$1:$E$193</definedName>
    <definedName name="ExternalData_1" localSheetId="13" hidden="1">'Botanical Bar'!$A$1:$E$193</definedName>
    <definedName name="ExternalData_1" localSheetId="12" hidden="1">'Botanical Storeroom'!$A$1:$E$193</definedName>
    <definedName name="ExternalData_1" localSheetId="6" hidden="1">'CB1 Bar'!$A$1:$E$193</definedName>
    <definedName name="ExternalData_1" localSheetId="7" hidden="1">'CB2 Bar'!$A$1:$E$193</definedName>
    <definedName name="ExternalData_1" localSheetId="8" hidden="1">'CB3 Bar'!$A$1:$E$193</definedName>
    <definedName name="ExternalData_1" localSheetId="0" hidden="1">'Full Stock List'!$A$1:$E$193</definedName>
    <definedName name="ExternalData_1" localSheetId="4" hidden="1">'GB1 Bar'!$A$1:$E$193</definedName>
    <definedName name="ExternalData_1" localSheetId="5" hidden="1">'GB2 Bar'!$A$1:$E$193</definedName>
    <definedName name="ExternalData_1" localSheetId="1" hidden="1">'Juice Fridge'!$A$1:$E$193</definedName>
    <definedName name="ExternalData_1" localSheetId="14" hidden="1">'Loading Dock Fridge'!$A$1:$E$193</definedName>
    <definedName name="ExternalData_1" localSheetId="11" hidden="1">'Lower Keg'!$A$1:$E$193</definedName>
    <definedName name="ExternalData_1" localSheetId="15" hidden="1">'Postmix Loading Dock'!$A$1:$E$193</definedName>
    <definedName name="ExternalData_1" localSheetId="16" hidden="1">'Postmix Lower Keg'!$A$1:$E$193</definedName>
    <definedName name="ExternalData_1" localSheetId="17" hidden="1">'Postmix TWR'!$A$1:$E$193</definedName>
    <definedName name="ExternalData_1" localSheetId="9" hidden="1">'Spirits Room'!$A$1:$E$193</definedName>
    <definedName name="ExternalData_1" localSheetId="2" hidden="1">'Upper Keg'!$A$1:$E$193</definedName>
    <definedName name="ExternalData_1" localSheetId="10" hidden="1">'White Wine Fridge'!$A$1:$E$193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6" i="2" l="1"/>
  <c r="J186" i="2"/>
  <c r="I2" i="2"/>
  <c r="J2" i="2"/>
  <c r="J146" i="2"/>
  <c r="I3" i="2"/>
  <c r="J3" i="2"/>
  <c r="K3" i="2"/>
  <c r="I4" i="2"/>
  <c r="J4" i="2"/>
  <c r="G45" i="2"/>
  <c r="J45" i="2"/>
  <c r="J46" i="2"/>
  <c r="G47" i="2"/>
  <c r="J47" i="2"/>
  <c r="G160" i="2"/>
  <c r="J161" i="2"/>
  <c r="J57" i="2"/>
  <c r="K57" i="2"/>
  <c r="I129" i="2"/>
  <c r="G130" i="2"/>
  <c r="I130" i="2"/>
  <c r="J10" i="2"/>
  <c r="J11" i="2"/>
  <c r="I22" i="2"/>
  <c r="J22" i="2"/>
  <c r="J143" i="2"/>
  <c r="I185" i="2"/>
  <c r="J185" i="2"/>
  <c r="G134" i="2"/>
  <c r="J134" i="2"/>
  <c r="J94" i="2"/>
  <c r="G95" i="2"/>
  <c r="J95" i="2"/>
  <c r="K95" i="2"/>
  <c r="G168" i="2"/>
  <c r="I168" i="2"/>
  <c r="J168" i="2"/>
  <c r="J150" i="2"/>
  <c r="J135" i="2"/>
  <c r="I76" i="2"/>
  <c r="J76" i="2"/>
  <c r="G169" i="2"/>
  <c r="I169" i="2"/>
  <c r="J169" i="2"/>
  <c r="K169" i="2"/>
  <c r="J80" i="2"/>
  <c r="J103" i="2"/>
  <c r="K103" i="2"/>
  <c r="G151" i="2"/>
  <c r="I151" i="2"/>
  <c r="J151" i="2"/>
  <c r="I24" i="2"/>
  <c r="J187" i="2"/>
  <c r="J179" i="2"/>
  <c r="G136" i="2"/>
  <c r="I136" i="2"/>
  <c r="I90" i="2"/>
  <c r="J90" i="2"/>
  <c r="K90" i="2"/>
  <c r="G18" i="2"/>
  <c r="J114" i="2"/>
  <c r="I25" i="2"/>
  <c r="J25" i="2"/>
  <c r="G26" i="2"/>
  <c r="I26" i="2"/>
  <c r="J26" i="2"/>
  <c r="J27" i="2"/>
  <c r="I5" i="2"/>
  <c r="J5" i="2"/>
  <c r="G28" i="2"/>
  <c r="G155" i="2"/>
  <c r="J155" i="2"/>
  <c r="G9" i="2"/>
  <c r="I9" i="2"/>
  <c r="J9" i="2"/>
  <c r="I12" i="2"/>
  <c r="J12" i="2"/>
  <c r="J6" i="2"/>
  <c r="K6" i="2"/>
  <c r="J13" i="2"/>
  <c r="G8" i="2"/>
  <c r="J8" i="2"/>
  <c r="I123" i="2"/>
  <c r="J123" i="2"/>
  <c r="G118" i="2"/>
  <c r="K118" i="2"/>
  <c r="G119" i="2"/>
  <c r="J119" i="2"/>
  <c r="I64" i="2"/>
  <c r="J64" i="2"/>
  <c r="I177" i="2"/>
  <c r="J177" i="2"/>
  <c r="H156" i="2"/>
  <c r="J104" i="2"/>
  <c r="J65" i="2"/>
  <c r="J180" i="2"/>
  <c r="J96" i="2"/>
  <c r="J188" i="2"/>
  <c r="K188" i="2"/>
  <c r="J17" i="2"/>
  <c r="I164" i="2"/>
  <c r="J164" i="2"/>
  <c r="J165" i="2"/>
  <c r="J166" i="2"/>
  <c r="G167" i="2"/>
  <c r="I167" i="2"/>
  <c r="J30" i="2"/>
  <c r="G31" i="2"/>
  <c r="J31" i="2"/>
  <c r="J32" i="2"/>
  <c r="I33" i="2"/>
  <c r="J33" i="2"/>
  <c r="I34" i="2"/>
  <c r="J34" i="2"/>
  <c r="G35" i="2"/>
  <c r="J35" i="2"/>
  <c r="J36" i="2"/>
  <c r="K36" i="2"/>
  <c r="I157" i="2"/>
  <c r="J66" i="2"/>
  <c r="J182" i="2"/>
  <c r="K182" i="2"/>
  <c r="J81" i="2"/>
  <c r="G67" i="2"/>
  <c r="J67" i="2"/>
  <c r="J170" i="2"/>
  <c r="J105" i="2"/>
  <c r="J178" i="2"/>
  <c r="J29" i="2"/>
  <c r="I37" i="2"/>
  <c r="J37" i="2"/>
  <c r="G19" i="2"/>
  <c r="K19" i="2"/>
  <c r="J14" i="2"/>
  <c r="K14" i="2"/>
  <c r="G15" i="2"/>
  <c r="J15" i="2"/>
  <c r="I147" i="2"/>
  <c r="J147" i="2"/>
  <c r="J97" i="2"/>
  <c r="G98" i="2"/>
  <c r="J98" i="2"/>
  <c r="J189" i="2"/>
  <c r="G77" i="2"/>
  <c r="J77" i="2"/>
  <c r="K77" i="2"/>
  <c r="G153" i="2"/>
  <c r="J183" i="2"/>
  <c r="I82" i="2"/>
  <c r="J82" i="2"/>
  <c r="J83" i="2"/>
  <c r="J84" i="2"/>
  <c r="J171" i="2"/>
  <c r="I91" i="2"/>
  <c r="J91" i="2"/>
  <c r="G68" i="2"/>
  <c r="J68" i="2"/>
  <c r="J172" i="2"/>
  <c r="G190" i="2"/>
  <c r="J190" i="2"/>
  <c r="I20" i="2"/>
  <c r="J20" i="2"/>
  <c r="K20" i="2"/>
  <c r="G21" i="2"/>
  <c r="J85" i="2"/>
  <c r="I48" i="2"/>
  <c r="J48" i="2"/>
  <c r="I49" i="2"/>
  <c r="J49" i="2"/>
  <c r="K49" i="2"/>
  <c r="I16" i="2"/>
  <c r="J16" i="2"/>
  <c r="K16" i="2"/>
  <c r="G173" i="2"/>
  <c r="J173" i="2"/>
  <c r="I39" i="2"/>
  <c r="J39" i="2"/>
  <c r="G40" i="2"/>
  <c r="I40" i="2"/>
  <c r="J40" i="2"/>
  <c r="G41" i="2"/>
  <c r="J41" i="2"/>
  <c r="J42" i="2"/>
  <c r="K42" i="2"/>
  <c r="J43" i="2"/>
  <c r="K43" i="2"/>
  <c r="J44" i="2"/>
  <c r="G50" i="2"/>
  <c r="J50" i="2"/>
  <c r="J51" i="2"/>
  <c r="K51" i="2"/>
  <c r="I74" i="2"/>
  <c r="J74" i="2"/>
  <c r="K74" i="2"/>
  <c r="I120" i="2"/>
  <c r="K120" i="2"/>
  <c r="G69" i="2"/>
  <c r="J69" i="2"/>
  <c r="J58" i="2"/>
  <c r="I59" i="2"/>
  <c r="J59" i="2"/>
  <c r="I60" i="2"/>
  <c r="J60" i="2"/>
  <c r="I191" i="2"/>
  <c r="J191" i="2"/>
  <c r="J52" i="2"/>
  <c r="G53" i="2"/>
  <c r="J53" i="2"/>
  <c r="J54" i="2"/>
  <c r="J55" i="2"/>
  <c r="G99" i="2"/>
  <c r="J99" i="2"/>
  <c r="J174" i="2"/>
  <c r="K174" i="2"/>
  <c r="I56" i="2"/>
  <c r="J56" i="2"/>
  <c r="I149" i="2"/>
  <c r="J149" i="2"/>
  <c r="G140" i="2"/>
  <c r="J140" i="2"/>
  <c r="J7" i="2"/>
  <c r="G125" i="2"/>
  <c r="I125" i="2"/>
  <c r="K125" i="2"/>
  <c r="G70" i="2"/>
  <c r="I70" i="2"/>
  <c r="J70" i="2"/>
  <c r="J23" i="2"/>
  <c r="J106" i="2"/>
  <c r="J107" i="2"/>
  <c r="G141" i="2"/>
  <c r="J71" i="2"/>
  <c r="J92" i="2"/>
  <c r="K92" i="2"/>
  <c r="J192" i="2"/>
  <c r="K192" i="2"/>
  <c r="G72" i="2"/>
  <c r="I72" i="2"/>
  <c r="J72" i="2"/>
  <c r="J175" i="2"/>
  <c r="G184" i="2"/>
  <c r="J184" i="2"/>
  <c r="J86" i="2"/>
  <c r="K86" i="2"/>
  <c r="H100" i="2"/>
  <c r="I100" i="2"/>
  <c r="J100" i="2"/>
  <c r="I108" i="2"/>
  <c r="J108" i="2"/>
  <c r="G87" i="2"/>
  <c r="J87" i="2"/>
  <c r="I61" i="2"/>
  <c r="J61" i="2"/>
  <c r="G62" i="2"/>
  <c r="J62" i="2"/>
  <c r="J126" i="2"/>
  <c r="I101" i="2"/>
  <c r="J101" i="2"/>
  <c r="J176" i="2"/>
  <c r="F10" i="7"/>
  <c r="K11" i="2" s="1"/>
  <c r="F117" i="20"/>
  <c r="F111" i="20"/>
  <c r="F125" i="20"/>
  <c r="F165" i="20"/>
  <c r="F119" i="20"/>
  <c r="W119" i="2" s="1"/>
  <c r="F135" i="20"/>
  <c r="W135" i="2" s="1"/>
  <c r="F109" i="20"/>
  <c r="W109" i="2"/>
  <c r="F18" i="20"/>
  <c r="W18" i="2"/>
  <c r="F21" i="20"/>
  <c r="W21" i="2" s="1"/>
  <c r="F20" i="20"/>
  <c r="W20" i="2"/>
  <c r="F97" i="20"/>
  <c r="W97" i="2" s="1"/>
  <c r="F10" i="20"/>
  <c r="W11" i="2" s="1"/>
  <c r="F28" i="20"/>
  <c r="W28" i="2"/>
  <c r="F136" i="20"/>
  <c r="W136" i="2"/>
  <c r="F9" i="20"/>
  <c r="F147" i="20"/>
  <c r="F118" i="20"/>
  <c r="F120" i="20"/>
  <c r="F140" i="20"/>
  <c r="F192" i="20"/>
  <c r="W192" i="2" s="1"/>
  <c r="F46" i="20"/>
  <c r="W46" i="2" s="1"/>
  <c r="F47" i="20"/>
  <c r="W47" i="2"/>
  <c r="F170" i="20"/>
  <c r="W170" i="2" s="1"/>
  <c r="F58" i="20"/>
  <c r="W58" i="2" s="1"/>
  <c r="F112" i="20"/>
  <c r="W112" i="2"/>
  <c r="F122" i="20"/>
  <c r="W122" i="2" s="1"/>
  <c r="F167" i="20"/>
  <c r="W167" i="2"/>
  <c r="F33" i="20"/>
  <c r="W33" i="2"/>
  <c r="F162" i="20"/>
  <c r="F132" i="20"/>
  <c r="W132" i="2" s="1"/>
  <c r="F32" i="20"/>
  <c r="W32" i="2" s="1"/>
  <c r="F113" i="20"/>
  <c r="F146" i="20"/>
  <c r="F159" i="20"/>
  <c r="F164" i="20"/>
  <c r="W164" i="2"/>
  <c r="F128" i="20"/>
  <c r="W128" i="2" s="1"/>
  <c r="F138" i="20"/>
  <c r="W138" i="2"/>
  <c r="F145" i="20"/>
  <c r="W145" i="2"/>
  <c r="F141" i="20"/>
  <c r="W141" i="2"/>
  <c r="F50" i="20"/>
  <c r="W50" i="2" s="1"/>
  <c r="F129" i="20"/>
  <c r="W129" i="2" s="1"/>
  <c r="F59" i="20"/>
  <c r="W59" i="2"/>
  <c r="F177" i="20"/>
  <c r="F93" i="20"/>
  <c r="W93" i="2" s="1"/>
  <c r="F100" i="20"/>
  <c r="W100" i="2" s="1"/>
  <c r="F31" i="20"/>
  <c r="F34" i="20"/>
  <c r="F95" i="20"/>
  <c r="W95" i="2" s="1"/>
  <c r="F143" i="20"/>
  <c r="W143" i="2"/>
  <c r="F13" i="20"/>
  <c r="W13" i="2"/>
  <c r="F160" i="20"/>
  <c r="W160" i="2" s="1"/>
  <c r="F29" i="20"/>
  <c r="W29" i="2" s="1"/>
  <c r="F142" i="20"/>
  <c r="W142" i="2" s="1"/>
  <c r="F155" i="20"/>
  <c r="W155" i="2" s="1"/>
  <c r="F81" i="20"/>
  <c r="W81" i="2" s="1"/>
  <c r="F60" i="20"/>
  <c r="W60" i="2" s="1"/>
  <c r="F14" i="20"/>
  <c r="F74" i="20"/>
  <c r="F178" i="20"/>
  <c r="F154" i="20"/>
  <c r="F153" i="20"/>
  <c r="F163" i="20"/>
  <c r="F15" i="20"/>
  <c r="W15" i="2"/>
  <c r="F127" i="20"/>
  <c r="W127" i="2" s="1"/>
  <c r="F144" i="20"/>
  <c r="W144" i="2" s="1"/>
  <c r="F61" i="20"/>
  <c r="W61" i="2"/>
  <c r="F115" i="20"/>
  <c r="W115" i="2" s="1"/>
  <c r="F130" i="20"/>
  <c r="W130" i="2"/>
  <c r="F51" i="20"/>
  <c r="W51" i="2" s="1"/>
  <c r="F16" i="20"/>
  <c r="W16" i="2"/>
  <c r="F123" i="20"/>
  <c r="F174" i="20"/>
  <c r="F150" i="20"/>
  <c r="F67" i="20"/>
  <c r="F66" i="20"/>
  <c r="W66" i="2" s="1"/>
  <c r="F175" i="20"/>
  <c r="W175" i="2" s="1"/>
  <c r="F71" i="20"/>
  <c r="W71" i="2" s="1"/>
  <c r="F75" i="20"/>
  <c r="W75" i="2"/>
  <c r="F45" i="20"/>
  <c r="W45" i="2" s="1"/>
  <c r="F191" i="20"/>
  <c r="W191" i="2"/>
  <c r="F12" i="20"/>
  <c r="W12" i="2"/>
  <c r="F79" i="20"/>
  <c r="W79" i="2"/>
  <c r="F92" i="20"/>
  <c r="W92" i="2" s="1"/>
  <c r="F121" i="20"/>
  <c r="W121" i="2" s="1"/>
  <c r="F188" i="20"/>
  <c r="F98" i="20"/>
  <c r="W98" i="2" s="1"/>
  <c r="F187" i="20"/>
  <c r="W187" i="2" s="1"/>
  <c r="F70" i="20"/>
  <c r="F77" i="20"/>
  <c r="F184" i="20"/>
  <c r="F189" i="20"/>
  <c r="W189" i="2"/>
  <c r="F148" i="20"/>
  <c r="W148" i="2"/>
  <c r="F157" i="20"/>
  <c r="W157" i="2" s="1"/>
  <c r="F134" i="20"/>
  <c r="W134" i="2" s="1"/>
  <c r="F185" i="20"/>
  <c r="W185" i="2"/>
  <c r="F166" i="20"/>
  <c r="W166" i="2"/>
  <c r="F182" i="20"/>
  <c r="W182" i="2" s="1"/>
  <c r="F22" i="20"/>
  <c r="W22" i="2"/>
  <c r="F152" i="20"/>
  <c r="F116" i="20"/>
  <c r="W116" i="2" s="1"/>
  <c r="F69" i="20"/>
  <c r="W69" i="2" s="1"/>
  <c r="F137" i="20"/>
  <c r="F87" i="20"/>
  <c r="F99" i="20"/>
  <c r="W99" i="2"/>
  <c r="F176" i="20"/>
  <c r="W176" i="2" s="1"/>
  <c r="F110" i="20"/>
  <c r="W110" i="2"/>
  <c r="F114" i="20"/>
  <c r="W114" i="2" s="1"/>
  <c r="F108" i="20"/>
  <c r="W108" i="2" s="1"/>
  <c r="F149" i="20"/>
  <c r="W149" i="2"/>
  <c r="F105" i="20"/>
  <c r="W105" i="2" s="1"/>
  <c r="F181" i="20"/>
  <c r="W181" i="2"/>
  <c r="F193" i="20"/>
  <c r="W193" i="2" s="1"/>
  <c r="F190" i="20"/>
  <c r="F172" i="20"/>
  <c r="F62" i="20"/>
  <c r="W62" i="2" s="1"/>
  <c r="F139" i="20"/>
  <c r="F104" i="20"/>
  <c r="W104" i="2" s="1"/>
  <c r="F78" i="20"/>
  <c r="W78" i="2" s="1"/>
  <c r="F186" i="20"/>
  <c r="W186" i="2" s="1"/>
  <c r="F101" i="20"/>
  <c r="W101" i="2" s="1"/>
  <c r="F151" i="20"/>
  <c r="W151" i="2"/>
  <c r="F90" i="20"/>
  <c r="W90" i="2" s="1"/>
  <c r="F91" i="20"/>
  <c r="W91" i="2"/>
  <c r="F124" i="20"/>
  <c r="W124" i="2"/>
  <c r="F156" i="20"/>
  <c r="W156" i="2" s="1"/>
  <c r="F19" i="20"/>
  <c r="W19" i="2" s="1"/>
  <c r="F158" i="20"/>
  <c r="W158" i="2" s="1"/>
  <c r="F5" i="20"/>
  <c r="F106" i="20"/>
  <c r="F107" i="20"/>
  <c r="F133" i="20"/>
  <c r="F64" i="20"/>
  <c r="W64" i="2" s="1"/>
  <c r="F173" i="20"/>
  <c r="W173" i="2" s="1"/>
  <c r="F72" i="20"/>
  <c r="W72" i="2" s="1"/>
  <c r="F23" i="20"/>
  <c r="W23" i="2"/>
  <c r="F88" i="20"/>
  <c r="W88" i="2" s="1"/>
  <c r="F169" i="20"/>
  <c r="W169" i="2"/>
  <c r="F85" i="20"/>
  <c r="W85" i="2" s="1"/>
  <c r="F171" i="20"/>
  <c r="W171" i="2"/>
  <c r="F65" i="20"/>
  <c r="W65" i="2" s="1"/>
  <c r="F180" i="20"/>
  <c r="W180" i="2" s="1"/>
  <c r="F126" i="20"/>
  <c r="F131" i="20"/>
  <c r="W131" i="2" s="1"/>
  <c r="F183" i="20"/>
  <c r="W183" i="2" s="1"/>
  <c r="F82" i="20"/>
  <c r="F96" i="20"/>
  <c r="W96" i="2" s="1"/>
  <c r="F73" i="20"/>
  <c r="W73" i="2" s="1"/>
  <c r="F3" i="20"/>
  <c r="W3" i="2" s="1"/>
  <c r="F6" i="20"/>
  <c r="W6" i="2"/>
  <c r="F103" i="20"/>
  <c r="W103" i="2" s="1"/>
  <c r="F8" i="20"/>
  <c r="W8" i="2" s="1"/>
  <c r="F38" i="20"/>
  <c r="W38" i="2"/>
  <c r="F27" i="20"/>
  <c r="W27" i="2" s="1"/>
  <c r="F83" i="20"/>
  <c r="W83" i="2" s="1"/>
  <c r="F80" i="20"/>
  <c r="W80" i="2" s="1"/>
  <c r="F102" i="20"/>
  <c r="F89" i="20"/>
  <c r="F4" i="20"/>
  <c r="F168" i="20"/>
  <c r="W168" i="2" s="1"/>
  <c r="F76" i="20"/>
  <c r="W76" i="2" s="1"/>
  <c r="F57" i="20"/>
  <c r="W57" i="2"/>
  <c r="F36" i="20"/>
  <c r="W36" i="2"/>
  <c r="F86" i="20"/>
  <c r="W86" i="2" s="1"/>
  <c r="F37" i="20"/>
  <c r="W37" i="2" s="1"/>
  <c r="F2" i="20"/>
  <c r="W2" i="2"/>
  <c r="F17" i="20"/>
  <c r="W17" i="2" s="1"/>
  <c r="F179" i="20"/>
  <c r="W179" i="2" s="1"/>
  <c r="F94" i="20"/>
  <c r="W94" i="2"/>
  <c r="F84" i="20"/>
  <c r="W84" i="2" s="1"/>
  <c r="F30" i="20"/>
  <c r="F35" i="20"/>
  <c r="F24" i="20"/>
  <c r="F68" i="20"/>
  <c r="F63" i="20"/>
  <c r="W63" i="2" s="1"/>
  <c r="F49" i="20"/>
  <c r="W49" i="2"/>
  <c r="F39" i="20"/>
  <c r="W39" i="2"/>
  <c r="F48" i="20"/>
  <c r="W48" i="2"/>
  <c r="F40" i="20"/>
  <c r="W40" i="2" s="1"/>
  <c r="F53" i="20"/>
  <c r="W53" i="2" s="1"/>
  <c r="F42" i="20"/>
  <c r="W42" i="2" s="1"/>
  <c r="F54" i="20"/>
  <c r="W54" i="2" s="1"/>
  <c r="F43" i="20"/>
  <c r="W43" i="2"/>
  <c r="F52" i="20"/>
  <c r="F44" i="20"/>
  <c r="W44" i="2" s="1"/>
  <c r="F55" i="20"/>
  <c r="F41" i="20"/>
  <c r="W41" i="2" s="1"/>
  <c r="F7" i="20"/>
  <c r="W7" i="2" s="1"/>
  <c r="F56" i="20"/>
  <c r="W56" i="2"/>
  <c r="F25" i="20"/>
  <c r="W25" i="2"/>
  <c r="F26" i="20"/>
  <c r="W26" i="2" s="1"/>
  <c r="F161" i="20"/>
  <c r="W161" i="2"/>
  <c r="F11" i="20"/>
  <c r="W9" i="2" s="1"/>
  <c r="F2" i="19"/>
  <c r="V117" i="2"/>
  <c r="F3" i="19"/>
  <c r="V111" i="2"/>
  <c r="F4" i="19"/>
  <c r="V125" i="2"/>
  <c r="F5" i="19"/>
  <c r="V165" i="2"/>
  <c r="F6" i="19"/>
  <c r="F7" i="19"/>
  <c r="V135" i="2"/>
  <c r="F8" i="19"/>
  <c r="V109" i="2"/>
  <c r="F9" i="19"/>
  <c r="V18" i="2"/>
  <c r="F10" i="19"/>
  <c r="V21" i="2"/>
  <c r="F11" i="19"/>
  <c r="V20" i="2"/>
  <c r="F12" i="19"/>
  <c r="V97" i="2"/>
  <c r="F13" i="19"/>
  <c r="V11" i="2"/>
  <c r="F14" i="19"/>
  <c r="V28" i="2"/>
  <c r="F15" i="19"/>
  <c r="V136" i="2"/>
  <c r="F16" i="19"/>
  <c r="V10" i="2"/>
  <c r="F17" i="19"/>
  <c r="V147" i="2"/>
  <c r="F18" i="19"/>
  <c r="V118" i="2"/>
  <c r="F19" i="19"/>
  <c r="V120" i="2"/>
  <c r="F20" i="19"/>
  <c r="F21" i="19"/>
  <c r="F22" i="19"/>
  <c r="V46" i="2"/>
  <c r="F23" i="19"/>
  <c r="V47" i="2"/>
  <c r="F24" i="19"/>
  <c r="V170" i="2"/>
  <c r="F25" i="19"/>
  <c r="F26" i="19"/>
  <c r="V112" i="2"/>
  <c r="F27" i="19"/>
  <c r="V122" i="2"/>
  <c r="F28" i="19"/>
  <c r="V167" i="2"/>
  <c r="F29" i="19"/>
  <c r="V33" i="2"/>
  <c r="F30" i="19"/>
  <c r="V162" i="2"/>
  <c r="F31" i="19"/>
  <c r="V132" i="2"/>
  <c r="F32" i="19"/>
  <c r="V32" i="2"/>
  <c r="F33" i="19"/>
  <c r="V113" i="2"/>
  <c r="F34" i="19"/>
  <c r="F35" i="19"/>
  <c r="V159" i="2"/>
  <c r="F36" i="19"/>
  <c r="V164" i="2"/>
  <c r="F37" i="19"/>
  <c r="V128" i="2"/>
  <c r="F38" i="19"/>
  <c r="V138" i="2"/>
  <c r="F39" i="19"/>
  <c r="V145" i="2"/>
  <c r="F40" i="19"/>
  <c r="V141" i="2"/>
  <c r="F41" i="19"/>
  <c r="V50" i="2"/>
  <c r="F42" i="19"/>
  <c r="V129" i="2"/>
  <c r="F43" i="19"/>
  <c r="V59" i="2"/>
  <c r="F44" i="19"/>
  <c r="V177" i="2"/>
  <c r="F45" i="19"/>
  <c r="V93" i="2"/>
  <c r="F46" i="19"/>
  <c r="V100" i="2"/>
  <c r="F47" i="19"/>
  <c r="V31" i="2"/>
  <c r="F48" i="19"/>
  <c r="F49" i="19"/>
  <c r="F50" i="19"/>
  <c r="V143" i="2"/>
  <c r="F51" i="19"/>
  <c r="V13" i="2"/>
  <c r="F52" i="19"/>
  <c r="V160" i="2"/>
  <c r="F53" i="19"/>
  <c r="F54" i="19"/>
  <c r="V142" i="2"/>
  <c r="F55" i="19"/>
  <c r="V155" i="2"/>
  <c r="F56" i="19"/>
  <c r="V81" i="2"/>
  <c r="F57" i="19"/>
  <c r="V60" i="2"/>
  <c r="F58" i="19"/>
  <c r="V14" i="2"/>
  <c r="F59" i="19"/>
  <c r="V74" i="2"/>
  <c r="F60" i="19"/>
  <c r="V178" i="2"/>
  <c r="F61" i="19"/>
  <c r="V154" i="2"/>
  <c r="F62" i="19"/>
  <c r="F63" i="19"/>
  <c r="F64" i="19"/>
  <c r="V15" i="2"/>
  <c r="F65" i="19"/>
  <c r="V127" i="2"/>
  <c r="F66" i="19"/>
  <c r="V144" i="2"/>
  <c r="F67" i="19"/>
  <c r="V61" i="2"/>
  <c r="F68" i="19"/>
  <c r="V115" i="2"/>
  <c r="F69" i="19"/>
  <c r="V130" i="2"/>
  <c r="F70" i="19"/>
  <c r="V51" i="2"/>
  <c r="F71" i="19"/>
  <c r="V16" i="2"/>
  <c r="F72" i="19"/>
  <c r="V123" i="2"/>
  <c r="F73" i="19"/>
  <c r="V174" i="2"/>
  <c r="F74" i="19"/>
  <c r="V150" i="2"/>
  <c r="F75" i="19"/>
  <c r="V67" i="2"/>
  <c r="F76" i="19"/>
  <c r="F77" i="19"/>
  <c r="V175" i="2"/>
  <c r="F78" i="19"/>
  <c r="V71" i="2"/>
  <c r="F79" i="19"/>
  <c r="V75" i="2"/>
  <c r="F80" i="19"/>
  <c r="V45" i="2"/>
  <c r="F81" i="19"/>
  <c r="V191" i="2"/>
  <c r="F82" i="19"/>
  <c r="V12" i="2"/>
  <c r="F83" i="19"/>
  <c r="V79" i="2"/>
  <c r="F84" i="19"/>
  <c r="V92" i="2"/>
  <c r="F85" i="19"/>
  <c r="V121" i="2"/>
  <c r="F86" i="19"/>
  <c r="V188" i="2"/>
  <c r="F87" i="19"/>
  <c r="V98" i="2"/>
  <c r="F88" i="19"/>
  <c r="V187" i="2"/>
  <c r="F89" i="19"/>
  <c r="V70" i="2"/>
  <c r="F90" i="19"/>
  <c r="F91" i="19"/>
  <c r="F92" i="19"/>
  <c r="V189" i="2"/>
  <c r="F93" i="19"/>
  <c r="V148" i="2"/>
  <c r="F94" i="19"/>
  <c r="V157" i="2"/>
  <c r="F95" i="19"/>
  <c r="V134" i="2"/>
  <c r="F96" i="19"/>
  <c r="V185" i="2"/>
  <c r="F97" i="19"/>
  <c r="V166" i="2"/>
  <c r="F98" i="19"/>
  <c r="V182" i="2"/>
  <c r="F99" i="19"/>
  <c r="V22" i="2"/>
  <c r="F100" i="19"/>
  <c r="V152" i="2"/>
  <c r="F101" i="19"/>
  <c r="V116" i="2"/>
  <c r="F102" i="19"/>
  <c r="V69" i="2"/>
  <c r="F103" i="19"/>
  <c r="V137" i="2"/>
  <c r="F104" i="19"/>
  <c r="F105" i="19"/>
  <c r="V99" i="2"/>
  <c r="F106" i="19"/>
  <c r="V176" i="2"/>
  <c r="F107" i="19"/>
  <c r="V110" i="2"/>
  <c r="F108" i="19"/>
  <c r="V114" i="2"/>
  <c r="F109" i="19"/>
  <c r="V108" i="2"/>
  <c r="F110" i="19"/>
  <c r="V149" i="2"/>
  <c r="F111" i="19"/>
  <c r="V105" i="2"/>
  <c r="F112" i="19"/>
  <c r="V181" i="2"/>
  <c r="F113" i="19"/>
  <c r="V193" i="2"/>
  <c r="F114" i="19"/>
  <c r="V190" i="2"/>
  <c r="F115" i="19"/>
  <c r="V172" i="2"/>
  <c r="F116" i="19"/>
  <c r="V62" i="2"/>
  <c r="F117" i="19"/>
  <c r="V139" i="2"/>
  <c r="F118" i="19"/>
  <c r="F119" i="19"/>
  <c r="F120" i="19"/>
  <c r="V186" i="2"/>
  <c r="F121" i="19"/>
  <c r="V101" i="2"/>
  <c r="F122" i="19"/>
  <c r="V151" i="2"/>
  <c r="F123" i="19"/>
  <c r="V90" i="2"/>
  <c r="F124" i="19"/>
  <c r="V91" i="2"/>
  <c r="F125" i="19"/>
  <c r="V124" i="2"/>
  <c r="F126" i="19"/>
  <c r="V156" i="2"/>
  <c r="F127" i="19"/>
  <c r="V19" i="2"/>
  <c r="F128" i="19"/>
  <c r="V158" i="2"/>
  <c r="F129" i="19"/>
  <c r="V5" i="2"/>
  <c r="F130" i="19"/>
  <c r="V106" i="2"/>
  <c r="F131" i="19"/>
  <c r="V107" i="2"/>
  <c r="F132" i="19"/>
  <c r="F133" i="19"/>
  <c r="V64" i="2"/>
  <c r="F134" i="19"/>
  <c r="V173" i="2"/>
  <c r="F135" i="19"/>
  <c r="V72" i="2"/>
  <c r="F136" i="19"/>
  <c r="V23" i="2"/>
  <c r="F137" i="19"/>
  <c r="V88" i="2"/>
  <c r="F138" i="19"/>
  <c r="V169" i="2"/>
  <c r="F139" i="19"/>
  <c r="V85" i="2"/>
  <c r="F140" i="19"/>
  <c r="V171" i="2"/>
  <c r="F141" i="19"/>
  <c r="V65" i="2"/>
  <c r="F142" i="19"/>
  <c r="V180" i="2"/>
  <c r="F143" i="19"/>
  <c r="V126" i="2"/>
  <c r="F144" i="19"/>
  <c r="V131" i="2"/>
  <c r="F145" i="19"/>
  <c r="V183" i="2"/>
  <c r="F146" i="19"/>
  <c r="F147" i="19"/>
  <c r="F148" i="19"/>
  <c r="V73" i="2"/>
  <c r="F149" i="19"/>
  <c r="V3" i="2"/>
  <c r="F150" i="19"/>
  <c r="V6" i="2"/>
  <c r="F151" i="19"/>
  <c r="V103" i="2"/>
  <c r="F152" i="19"/>
  <c r="V8" i="2"/>
  <c r="F153" i="19"/>
  <c r="V38" i="2"/>
  <c r="F154" i="19"/>
  <c r="V27" i="2"/>
  <c r="F155" i="19"/>
  <c r="V83" i="2"/>
  <c r="F156" i="19"/>
  <c r="V80" i="2"/>
  <c r="F157" i="19"/>
  <c r="V102" i="2"/>
  <c r="F158" i="19"/>
  <c r="V89" i="2"/>
  <c r="F159" i="19"/>
  <c r="V4" i="2"/>
  <c r="F160" i="19"/>
  <c r="F161" i="19"/>
  <c r="V76" i="2"/>
  <c r="F162" i="19"/>
  <c r="V57" i="2"/>
  <c r="F163" i="19"/>
  <c r="V36" i="2"/>
  <c r="F164" i="19"/>
  <c r="V86" i="2"/>
  <c r="F165" i="19"/>
  <c r="V37" i="2"/>
  <c r="F166" i="19"/>
  <c r="V2" i="2"/>
  <c r="F167" i="19"/>
  <c r="V17" i="2"/>
  <c r="F168" i="19"/>
  <c r="V179" i="2"/>
  <c r="F169" i="19"/>
  <c r="V94" i="2"/>
  <c r="F170" i="19"/>
  <c r="V84" i="2"/>
  <c r="F171" i="19"/>
  <c r="V30" i="2"/>
  <c r="F172" i="19"/>
  <c r="V35" i="2"/>
  <c r="F173" i="19"/>
  <c r="V24" i="2"/>
  <c r="F174" i="19"/>
  <c r="F175" i="19"/>
  <c r="V63" i="2"/>
  <c r="F176" i="19"/>
  <c r="V49" i="2"/>
  <c r="F177" i="19"/>
  <c r="V39" i="2"/>
  <c r="F178" i="19"/>
  <c r="V48" i="2"/>
  <c r="F179" i="19"/>
  <c r="V40" i="2"/>
  <c r="F180" i="19"/>
  <c r="V53" i="2"/>
  <c r="F183" i="19"/>
  <c r="V42" i="2"/>
  <c r="F182" i="19"/>
  <c r="V54" i="2"/>
  <c r="F185" i="19"/>
  <c r="V43" i="2"/>
  <c r="F184" i="19"/>
  <c r="V52" i="2"/>
  <c r="F187" i="19"/>
  <c r="V44" i="2"/>
  <c r="F186" i="19"/>
  <c r="V55" i="2"/>
  <c r="F181" i="19"/>
  <c r="V41" i="2"/>
  <c r="F188" i="19"/>
  <c r="F189" i="19"/>
  <c r="F190" i="19"/>
  <c r="V25" i="2"/>
  <c r="F191" i="19"/>
  <c r="V26" i="2"/>
  <c r="F192" i="19"/>
  <c r="V161" i="2"/>
  <c r="F193" i="19"/>
  <c r="F2" i="18"/>
  <c r="U117" i="2"/>
  <c r="F3" i="18"/>
  <c r="U111" i="2"/>
  <c r="F4" i="18"/>
  <c r="U125" i="2"/>
  <c r="F5" i="18"/>
  <c r="U165" i="2"/>
  <c r="F6" i="18"/>
  <c r="U119" i="2"/>
  <c r="F7" i="18"/>
  <c r="U135" i="2"/>
  <c r="F8" i="18"/>
  <c r="U109" i="2"/>
  <c r="F9" i="18"/>
  <c r="U18" i="2"/>
  <c r="F10" i="18"/>
  <c r="U21" i="2"/>
  <c r="F11" i="18"/>
  <c r="U20" i="2"/>
  <c r="F12" i="18"/>
  <c r="U97" i="2"/>
  <c r="F13" i="18"/>
  <c r="U11" i="2"/>
  <c r="F14" i="18"/>
  <c r="U28" i="2"/>
  <c r="F15" i="18"/>
  <c r="U136" i="2"/>
  <c r="F16" i="18"/>
  <c r="U10" i="2"/>
  <c r="F17" i="18"/>
  <c r="U147" i="2"/>
  <c r="F18" i="18"/>
  <c r="U118" i="2"/>
  <c r="F19" i="18"/>
  <c r="F20" i="18"/>
  <c r="U140" i="2"/>
  <c r="F21" i="18"/>
  <c r="U192" i="2"/>
  <c r="F22" i="18"/>
  <c r="U46" i="2"/>
  <c r="F23" i="18"/>
  <c r="U47" i="2"/>
  <c r="F24" i="18"/>
  <c r="U170" i="2"/>
  <c r="F25" i="18"/>
  <c r="U58" i="2"/>
  <c r="F26" i="18"/>
  <c r="U112" i="2"/>
  <c r="F27" i="18"/>
  <c r="U122" i="2"/>
  <c r="F28" i="18"/>
  <c r="U167" i="2"/>
  <c r="F29" i="18"/>
  <c r="U33" i="2"/>
  <c r="F30" i="18"/>
  <c r="F31" i="18"/>
  <c r="U132" i="2"/>
  <c r="F32" i="18"/>
  <c r="F33" i="18"/>
  <c r="F34" i="18"/>
  <c r="U146" i="2"/>
  <c r="F35" i="18"/>
  <c r="U159" i="2"/>
  <c r="F36" i="18"/>
  <c r="U164" i="2"/>
  <c r="F37" i="18"/>
  <c r="U128" i="2"/>
  <c r="F38" i="18"/>
  <c r="U138" i="2"/>
  <c r="F39" i="18"/>
  <c r="U145" i="2"/>
  <c r="F40" i="18"/>
  <c r="U141" i="2"/>
  <c r="F41" i="18"/>
  <c r="U50" i="2"/>
  <c r="F42" i="18"/>
  <c r="U129" i="2"/>
  <c r="F43" i="18"/>
  <c r="U59" i="2"/>
  <c r="F44" i="18"/>
  <c r="U177" i="2"/>
  <c r="F45" i="18"/>
  <c r="U93" i="2"/>
  <c r="F46" i="18"/>
  <c r="U100" i="2"/>
  <c r="F47" i="18"/>
  <c r="U31" i="2"/>
  <c r="F48" i="18"/>
  <c r="U34" i="2"/>
  <c r="F49" i="18"/>
  <c r="U95" i="2"/>
  <c r="F50" i="18"/>
  <c r="U143" i="2"/>
  <c r="F51" i="18"/>
  <c r="U13" i="2"/>
  <c r="F52" i="18"/>
  <c r="U160" i="2"/>
  <c r="F53" i="18"/>
  <c r="U29" i="2"/>
  <c r="F54" i="18"/>
  <c r="U142" i="2"/>
  <c r="F55" i="18"/>
  <c r="U155" i="2"/>
  <c r="F56" i="18"/>
  <c r="U81" i="2"/>
  <c r="F57" i="18"/>
  <c r="U60" i="2"/>
  <c r="F58" i="18"/>
  <c r="U14" i="2"/>
  <c r="F59" i="18"/>
  <c r="U74" i="2"/>
  <c r="F60" i="18"/>
  <c r="F61" i="18"/>
  <c r="F62" i="18"/>
  <c r="U153" i="2"/>
  <c r="F63" i="18"/>
  <c r="U163" i="2"/>
  <c r="F64" i="18"/>
  <c r="U15" i="2"/>
  <c r="F65" i="18"/>
  <c r="U127" i="2"/>
  <c r="F66" i="18"/>
  <c r="U144" i="2"/>
  <c r="F67" i="18"/>
  <c r="U61" i="2"/>
  <c r="F68" i="18"/>
  <c r="U115" i="2"/>
  <c r="F69" i="18"/>
  <c r="U130" i="2"/>
  <c r="F70" i="18"/>
  <c r="U51" i="2"/>
  <c r="F71" i="18"/>
  <c r="U16" i="2"/>
  <c r="F72" i="18"/>
  <c r="U123" i="2"/>
  <c r="F73" i="18"/>
  <c r="F74" i="18"/>
  <c r="F75" i="18"/>
  <c r="F76" i="18"/>
  <c r="U66" i="2"/>
  <c r="F77" i="18"/>
  <c r="U175" i="2"/>
  <c r="F78" i="18"/>
  <c r="U71" i="2"/>
  <c r="F79" i="18"/>
  <c r="U75" i="2"/>
  <c r="F80" i="18"/>
  <c r="U45" i="2"/>
  <c r="F81" i="18"/>
  <c r="U191" i="2"/>
  <c r="F82" i="18"/>
  <c r="U12" i="2"/>
  <c r="F83" i="18"/>
  <c r="U79" i="2"/>
  <c r="F84" i="18"/>
  <c r="U92" i="2"/>
  <c r="F85" i="18"/>
  <c r="U121" i="2"/>
  <c r="F86" i="18"/>
  <c r="U188" i="2"/>
  <c r="F87" i="18"/>
  <c r="U98" i="2"/>
  <c r="F88" i="18"/>
  <c r="U187" i="2"/>
  <c r="F89" i="18"/>
  <c r="U70" i="2"/>
  <c r="F90" i="18"/>
  <c r="U77" i="2"/>
  <c r="F91" i="18"/>
  <c r="U184" i="2"/>
  <c r="F92" i="18"/>
  <c r="U189" i="2"/>
  <c r="F93" i="18"/>
  <c r="U148" i="2"/>
  <c r="F94" i="18"/>
  <c r="U157" i="2"/>
  <c r="F95" i="18"/>
  <c r="U134" i="2"/>
  <c r="F96" i="18"/>
  <c r="U185" i="2"/>
  <c r="F97" i="18"/>
  <c r="U166" i="2"/>
  <c r="F98" i="18"/>
  <c r="U182" i="2"/>
  <c r="F99" i="18"/>
  <c r="U22" i="2"/>
  <c r="F100" i="18"/>
  <c r="U152" i="2"/>
  <c r="F101" i="18"/>
  <c r="U116" i="2"/>
  <c r="F102" i="18"/>
  <c r="U69" i="2"/>
  <c r="F103" i="18"/>
  <c r="U137" i="2"/>
  <c r="F104" i="18"/>
  <c r="U87" i="2"/>
  <c r="F105" i="18"/>
  <c r="U99" i="2"/>
  <c r="F106" i="18"/>
  <c r="U176" i="2"/>
  <c r="F107" i="18"/>
  <c r="U110" i="2"/>
  <c r="F108" i="18"/>
  <c r="U114" i="2"/>
  <c r="F109" i="18"/>
  <c r="U108" i="2"/>
  <c r="F110" i="18"/>
  <c r="U149" i="2"/>
  <c r="F111" i="18"/>
  <c r="U105" i="2"/>
  <c r="F112" i="18"/>
  <c r="U181" i="2"/>
  <c r="F113" i="18"/>
  <c r="U193" i="2"/>
  <c r="F114" i="18"/>
  <c r="U190" i="2"/>
  <c r="F115" i="18"/>
  <c r="F116" i="18"/>
  <c r="U62" i="2"/>
  <c r="F117" i="18"/>
  <c r="F118" i="18"/>
  <c r="U104" i="2"/>
  <c r="F119" i="18"/>
  <c r="U78" i="2"/>
  <c r="F120" i="18"/>
  <c r="U186" i="2"/>
  <c r="F121" i="18"/>
  <c r="U101" i="2"/>
  <c r="F122" i="18"/>
  <c r="U151" i="2"/>
  <c r="F123" i="18"/>
  <c r="U90" i="2"/>
  <c r="F124" i="18"/>
  <c r="U91" i="2"/>
  <c r="F125" i="18"/>
  <c r="U124" i="2"/>
  <c r="F126" i="18"/>
  <c r="U156" i="2"/>
  <c r="F127" i="18"/>
  <c r="U19" i="2"/>
  <c r="F128" i="18"/>
  <c r="U158" i="2"/>
  <c r="F129" i="18"/>
  <c r="U5" i="2"/>
  <c r="F130" i="18"/>
  <c r="U106" i="2"/>
  <c r="F131" i="18"/>
  <c r="U107" i="2"/>
  <c r="F132" i="18"/>
  <c r="U133" i="2"/>
  <c r="F133" i="18"/>
  <c r="U64" i="2"/>
  <c r="F134" i="18"/>
  <c r="U173" i="2"/>
  <c r="F135" i="18"/>
  <c r="U72" i="2"/>
  <c r="F136" i="18"/>
  <c r="U23" i="2"/>
  <c r="F137" i="18"/>
  <c r="U88" i="2"/>
  <c r="F138" i="18"/>
  <c r="U169" i="2"/>
  <c r="F139" i="18"/>
  <c r="U85" i="2"/>
  <c r="F140" i="18"/>
  <c r="U171" i="2"/>
  <c r="F141" i="18"/>
  <c r="U65" i="2"/>
  <c r="F142" i="18"/>
  <c r="U180" i="2"/>
  <c r="F143" i="18"/>
  <c r="U126" i="2"/>
  <c r="F144" i="18"/>
  <c r="U131" i="2"/>
  <c r="F145" i="18"/>
  <c r="U183" i="2"/>
  <c r="F146" i="18"/>
  <c r="U82" i="2"/>
  <c r="F147" i="18"/>
  <c r="U96" i="2"/>
  <c r="F148" i="18"/>
  <c r="U73" i="2"/>
  <c r="F149" i="18"/>
  <c r="U3" i="2"/>
  <c r="F150" i="18"/>
  <c r="U6" i="2"/>
  <c r="F151" i="18"/>
  <c r="U103" i="2"/>
  <c r="F152" i="18"/>
  <c r="U8" i="2"/>
  <c r="F153" i="18"/>
  <c r="U38" i="2"/>
  <c r="F154" i="18"/>
  <c r="U27" i="2"/>
  <c r="F155" i="18"/>
  <c r="U83" i="2"/>
  <c r="F156" i="18"/>
  <c r="F157" i="18"/>
  <c r="U102" i="2"/>
  <c r="F158" i="18"/>
  <c r="U89" i="2"/>
  <c r="F159" i="18"/>
  <c r="F160" i="18"/>
  <c r="U168" i="2"/>
  <c r="F161" i="18"/>
  <c r="U76" i="2"/>
  <c r="F162" i="18"/>
  <c r="U57" i="2"/>
  <c r="F163" i="18"/>
  <c r="U36" i="2"/>
  <c r="F164" i="18"/>
  <c r="U86" i="2"/>
  <c r="F165" i="18"/>
  <c r="U37" i="2"/>
  <c r="F166" i="18"/>
  <c r="U2" i="2"/>
  <c r="F167" i="18"/>
  <c r="U17" i="2"/>
  <c r="F168" i="18"/>
  <c r="U179" i="2"/>
  <c r="F169" i="18"/>
  <c r="U94" i="2"/>
  <c r="F170" i="18"/>
  <c r="U84" i="2"/>
  <c r="F171" i="18"/>
  <c r="U30" i="2"/>
  <c r="F172" i="18"/>
  <c r="U35" i="2"/>
  <c r="F173" i="18"/>
  <c r="F174" i="18"/>
  <c r="U68" i="2"/>
  <c r="F175" i="18"/>
  <c r="U63" i="2"/>
  <c r="F176" i="18"/>
  <c r="U49" i="2"/>
  <c r="F177" i="18"/>
  <c r="U39" i="2" s="1"/>
  <c r="F178" i="18"/>
  <c r="U48" i="2"/>
  <c r="F179" i="18"/>
  <c r="U40" i="2"/>
  <c r="F180" i="18"/>
  <c r="U53" i="2"/>
  <c r="F183" i="18"/>
  <c r="U42" i="2" s="1"/>
  <c r="F182" i="18"/>
  <c r="U54" i="2"/>
  <c r="F185" i="18"/>
  <c r="U43" i="2" s="1"/>
  <c r="F184" i="18"/>
  <c r="U52" i="2"/>
  <c r="F187" i="18"/>
  <c r="U44" i="2" s="1"/>
  <c r="F186" i="18"/>
  <c r="U55" i="2"/>
  <c r="F181" i="18"/>
  <c r="U41" i="2"/>
  <c r="F188" i="18"/>
  <c r="U7" i="2"/>
  <c r="F189" i="18"/>
  <c r="U56" i="2"/>
  <c r="F190" i="18"/>
  <c r="U25" i="2"/>
  <c r="F191" i="18"/>
  <c r="U26" i="2"/>
  <c r="F192" i="18"/>
  <c r="U161" i="2"/>
  <c r="F193" i="18"/>
  <c r="U9" i="2"/>
  <c r="F117" i="17"/>
  <c r="T117" i="2" s="1"/>
  <c r="F111" i="17"/>
  <c r="T111" i="2" s="1"/>
  <c r="F125" i="17"/>
  <c r="F165" i="17"/>
  <c r="F119" i="17"/>
  <c r="F135" i="17"/>
  <c r="F109" i="17"/>
  <c r="F18" i="17"/>
  <c r="T18" i="2"/>
  <c r="F21" i="17"/>
  <c r="T21" i="2"/>
  <c r="F20" i="17"/>
  <c r="T20" i="2"/>
  <c r="F97" i="17"/>
  <c r="T97" i="2"/>
  <c r="F10" i="17"/>
  <c r="T11" i="2" s="1"/>
  <c r="F28" i="17"/>
  <c r="T28" i="2"/>
  <c r="F136" i="17"/>
  <c r="T136" i="2"/>
  <c r="F9" i="17"/>
  <c r="F147" i="17"/>
  <c r="F118" i="17"/>
  <c r="F120" i="17"/>
  <c r="F140" i="17"/>
  <c r="F192" i="17"/>
  <c r="T192" i="2" s="1"/>
  <c r="F46" i="17"/>
  <c r="F47" i="17"/>
  <c r="T47" i="2"/>
  <c r="F170" i="17"/>
  <c r="T170" i="2"/>
  <c r="F58" i="17"/>
  <c r="F112" i="17"/>
  <c r="T112" i="2"/>
  <c r="F122" i="17"/>
  <c r="T122" i="2"/>
  <c r="F167" i="17"/>
  <c r="T167" i="2"/>
  <c r="F33" i="17"/>
  <c r="T33" i="2"/>
  <c r="F162" i="17"/>
  <c r="F132" i="17"/>
  <c r="T132" i="2" s="1"/>
  <c r="F32" i="17"/>
  <c r="T32" i="2" s="1"/>
  <c r="F113" i="17"/>
  <c r="F146" i="17"/>
  <c r="F159" i="17"/>
  <c r="T159" i="2" s="1"/>
  <c r="F164" i="17"/>
  <c r="T164" i="2" s="1"/>
  <c r="F128" i="17"/>
  <c r="T128" i="2" s="1"/>
  <c r="F138" i="17"/>
  <c r="T138" i="2"/>
  <c r="F145" i="17"/>
  <c r="T145" i="2" s="1"/>
  <c r="F141" i="17"/>
  <c r="T141" i="2"/>
  <c r="F50" i="17"/>
  <c r="T50" i="2"/>
  <c r="F129" i="17"/>
  <c r="T129" i="2" s="1"/>
  <c r="F59" i="17"/>
  <c r="T59" i="2" s="1"/>
  <c r="F177" i="17"/>
  <c r="T177" i="2" s="1"/>
  <c r="F93" i="17"/>
  <c r="F100" i="17"/>
  <c r="F31" i="17"/>
  <c r="T31" i="2" s="1"/>
  <c r="F34" i="17"/>
  <c r="T34" i="2" s="1"/>
  <c r="F95" i="17"/>
  <c r="F143" i="17"/>
  <c r="T143" i="2"/>
  <c r="F13" i="17"/>
  <c r="T13" i="2"/>
  <c r="F160" i="17"/>
  <c r="T160" i="2" s="1"/>
  <c r="F29" i="17"/>
  <c r="F142" i="17"/>
  <c r="T142" i="2"/>
  <c r="F155" i="17"/>
  <c r="T155" i="2"/>
  <c r="F81" i="17"/>
  <c r="T81" i="2"/>
  <c r="F60" i="17"/>
  <c r="T60" i="2"/>
  <c r="F14" i="17"/>
  <c r="T14" i="2" s="1"/>
  <c r="F74" i="17"/>
  <c r="F178" i="17"/>
  <c r="F154" i="17"/>
  <c r="F153" i="17"/>
  <c r="F163" i="17"/>
  <c r="T163" i="2" s="1"/>
  <c r="F15" i="17"/>
  <c r="T15" i="2" s="1"/>
  <c r="F127" i="17"/>
  <c r="T127" i="2"/>
  <c r="F144" i="17"/>
  <c r="T144" i="2" s="1"/>
  <c r="F61" i="17"/>
  <c r="T61" i="2"/>
  <c r="F115" i="17"/>
  <c r="T115" i="2"/>
  <c r="F130" i="17"/>
  <c r="T130" i="2" s="1"/>
  <c r="F51" i="17"/>
  <c r="T51" i="2" s="1"/>
  <c r="F16" i="17"/>
  <c r="T16" i="2" s="1"/>
  <c r="F123" i="17"/>
  <c r="F174" i="17"/>
  <c r="T174" i="2" s="1"/>
  <c r="F150" i="17"/>
  <c r="T150" i="2" s="1"/>
  <c r="F67" i="17"/>
  <c r="F66" i="17"/>
  <c r="F175" i="17"/>
  <c r="T175" i="2" s="1"/>
  <c r="F71" i="17"/>
  <c r="T71" i="2"/>
  <c r="F75" i="17"/>
  <c r="T75" i="2" s="1"/>
  <c r="F45" i="17"/>
  <c r="T45" i="2" s="1"/>
  <c r="F191" i="17"/>
  <c r="F12" i="17"/>
  <c r="T12" i="2"/>
  <c r="F79" i="17"/>
  <c r="T79" i="2"/>
  <c r="F92" i="17"/>
  <c r="T92" i="2"/>
  <c r="F121" i="17"/>
  <c r="T121" i="2" s="1"/>
  <c r="F188" i="17"/>
  <c r="F98" i="17"/>
  <c r="F187" i="17"/>
  <c r="F70" i="17"/>
  <c r="F77" i="17"/>
  <c r="F184" i="17"/>
  <c r="T184" i="2" s="1"/>
  <c r="F189" i="17"/>
  <c r="T189" i="2"/>
  <c r="F148" i="17"/>
  <c r="T148" i="2" s="1"/>
  <c r="F157" i="17"/>
  <c r="T157" i="2"/>
  <c r="F134" i="17"/>
  <c r="F185" i="17"/>
  <c r="T185" i="2" s="1"/>
  <c r="F166" i="17"/>
  <c r="T166" i="2" s="1"/>
  <c r="F182" i="17"/>
  <c r="T182" i="2"/>
  <c r="F22" i="17"/>
  <c r="T22" i="2"/>
  <c r="F152" i="17"/>
  <c r="T152" i="2" s="1"/>
  <c r="F116" i="17"/>
  <c r="T116" i="2" s="1"/>
  <c r="F69" i="17"/>
  <c r="F137" i="17"/>
  <c r="T137" i="2" s="1"/>
  <c r="F87" i="17"/>
  <c r="T87" i="2" s="1"/>
  <c r="F99" i="17"/>
  <c r="F176" i="17"/>
  <c r="T176" i="2" s="1"/>
  <c r="F110" i="17"/>
  <c r="T110" i="2"/>
  <c r="F114" i="17"/>
  <c r="T114" i="2"/>
  <c r="F108" i="17"/>
  <c r="T108" i="2"/>
  <c r="F149" i="17"/>
  <c r="T149" i="2"/>
  <c r="F105" i="17"/>
  <c r="T105" i="2"/>
  <c r="F181" i="17"/>
  <c r="T181" i="2" s="1"/>
  <c r="F193" i="17"/>
  <c r="T193" i="2"/>
  <c r="F190" i="17"/>
  <c r="F172" i="17"/>
  <c r="F62" i="17"/>
  <c r="F139" i="17"/>
  <c r="T139" i="2" s="1"/>
  <c r="F104" i="17"/>
  <c r="F78" i="17"/>
  <c r="F186" i="17"/>
  <c r="T186" i="2" s="1"/>
  <c r="F101" i="17"/>
  <c r="T101" i="2" s="1"/>
  <c r="F151" i="17"/>
  <c r="T151" i="2"/>
  <c r="F90" i="17"/>
  <c r="F91" i="17"/>
  <c r="T91" i="2"/>
  <c r="F124" i="17"/>
  <c r="T124" i="2"/>
  <c r="F156" i="17"/>
  <c r="T156" i="2"/>
  <c r="F19" i="17"/>
  <c r="T19" i="2"/>
  <c r="F158" i="17"/>
  <c r="T158" i="2" s="1"/>
  <c r="F5" i="17"/>
  <c r="T5" i="2" s="1"/>
  <c r="F106" i="17"/>
  <c r="F107" i="17"/>
  <c r="T107" i="2" s="1"/>
  <c r="F133" i="17"/>
  <c r="T133" i="2" s="1"/>
  <c r="F64" i="17"/>
  <c r="T64" i="2"/>
  <c r="F173" i="17"/>
  <c r="T173" i="2" s="1"/>
  <c r="F72" i="17"/>
  <c r="T72" i="2" s="1"/>
  <c r="F23" i="17"/>
  <c r="T23" i="2" s="1"/>
  <c r="F88" i="17"/>
  <c r="F169" i="17"/>
  <c r="T169" i="2"/>
  <c r="F85" i="17"/>
  <c r="T85" i="2"/>
  <c r="F171" i="17"/>
  <c r="T171" i="2" s="1"/>
  <c r="F65" i="17"/>
  <c r="T65" i="2"/>
  <c r="F180" i="17"/>
  <c r="F126" i="17"/>
  <c r="F131" i="17"/>
  <c r="F183" i="17"/>
  <c r="T183" i="2" s="1"/>
  <c r="F82" i="17"/>
  <c r="F96" i="17"/>
  <c r="F73" i="17"/>
  <c r="T73" i="2"/>
  <c r="F3" i="17"/>
  <c r="T3" i="2"/>
  <c r="F6" i="17"/>
  <c r="T6" i="2" s="1"/>
  <c r="F103" i="17"/>
  <c r="F8" i="17"/>
  <c r="T8" i="2" s="1"/>
  <c r="F38" i="17"/>
  <c r="T38" i="2" s="1"/>
  <c r="F27" i="17"/>
  <c r="T27" i="2" s="1"/>
  <c r="F83" i="17"/>
  <c r="T83" i="2"/>
  <c r="F80" i="17"/>
  <c r="T80" i="2" s="1"/>
  <c r="F102" i="17"/>
  <c r="F89" i="17"/>
  <c r="T89" i="2" s="1"/>
  <c r="F4" i="17"/>
  <c r="T4" i="2" s="1"/>
  <c r="F168" i="17"/>
  <c r="F76" i="17"/>
  <c r="T76" i="2"/>
  <c r="F57" i="17"/>
  <c r="T57" i="2" s="1"/>
  <c r="F36" i="17"/>
  <c r="T36" i="2"/>
  <c r="F86" i="17"/>
  <c r="T86" i="2"/>
  <c r="F37" i="17"/>
  <c r="F2" i="17"/>
  <c r="T2" i="2" s="1"/>
  <c r="F17" i="17"/>
  <c r="T17" i="2"/>
  <c r="F179" i="17"/>
  <c r="T179" i="2"/>
  <c r="F94" i="17"/>
  <c r="T94" i="2" s="1"/>
  <c r="F84" i="17"/>
  <c r="F30" i="17"/>
  <c r="F35" i="17"/>
  <c r="F24" i="17"/>
  <c r="F68" i="17"/>
  <c r="F63" i="17"/>
  <c r="T63" i="2" s="1"/>
  <c r="F49" i="17"/>
  <c r="T49" i="2" s="1"/>
  <c r="F39" i="17"/>
  <c r="T39" i="2"/>
  <c r="F48" i="17"/>
  <c r="T48" i="2"/>
  <c r="F40" i="17"/>
  <c r="F53" i="17"/>
  <c r="T53" i="2"/>
  <c r="F42" i="17"/>
  <c r="T42" i="2"/>
  <c r="F54" i="17"/>
  <c r="T54" i="2"/>
  <c r="F43" i="17"/>
  <c r="T43" i="2"/>
  <c r="F52" i="17"/>
  <c r="F44" i="17"/>
  <c r="T44" i="2" s="1"/>
  <c r="F55" i="17"/>
  <c r="T55" i="2" s="1"/>
  <c r="F41" i="17"/>
  <c r="F7" i="17"/>
  <c r="F56" i="17"/>
  <c r="T56" i="2" s="1"/>
  <c r="F25" i="17"/>
  <c r="T25" i="2" s="1"/>
  <c r="F26" i="17"/>
  <c r="T26" i="2" s="1"/>
  <c r="F161" i="17"/>
  <c r="T161" i="2"/>
  <c r="F11" i="17"/>
  <c r="T9" i="2" s="1"/>
  <c r="F117" i="16"/>
  <c r="F111" i="16"/>
  <c r="F125" i="16"/>
  <c r="S125" i="2"/>
  <c r="F165" i="16"/>
  <c r="F119" i="16"/>
  <c r="F135" i="16"/>
  <c r="F109" i="16"/>
  <c r="F18" i="16"/>
  <c r="S18" i="2"/>
  <c r="F21" i="16"/>
  <c r="S21" i="2"/>
  <c r="F20" i="16"/>
  <c r="F97" i="16"/>
  <c r="F10" i="16"/>
  <c r="F28" i="16"/>
  <c r="S28" i="2"/>
  <c r="F136" i="16"/>
  <c r="S136" i="2"/>
  <c r="F9" i="16"/>
  <c r="F147" i="16"/>
  <c r="F118" i="16"/>
  <c r="S118" i="2"/>
  <c r="F120" i="16"/>
  <c r="F140" i="16"/>
  <c r="F192" i="16"/>
  <c r="F46" i="16"/>
  <c r="S46" i="2"/>
  <c r="F47" i="16"/>
  <c r="S47" i="2"/>
  <c r="F170" i="16"/>
  <c r="S170" i="2"/>
  <c r="F58" i="16"/>
  <c r="S58" i="2"/>
  <c r="F112" i="16"/>
  <c r="S112" i="2"/>
  <c r="F122" i="16"/>
  <c r="S122" i="2"/>
  <c r="F167" i="16"/>
  <c r="S167" i="2"/>
  <c r="F33" i="16"/>
  <c r="S33" i="2"/>
  <c r="F162" i="16"/>
  <c r="F132" i="16"/>
  <c r="F32" i="16"/>
  <c r="F113" i="16"/>
  <c r="F146" i="16"/>
  <c r="F159" i="16"/>
  <c r="F164" i="16"/>
  <c r="S164" i="2"/>
  <c r="F128" i="16"/>
  <c r="S128" i="2"/>
  <c r="F138" i="16"/>
  <c r="S138" i="2"/>
  <c r="F145" i="16"/>
  <c r="S145" i="2"/>
  <c r="F141" i="16"/>
  <c r="S141" i="2"/>
  <c r="F50" i="16"/>
  <c r="S50" i="2"/>
  <c r="F129" i="16"/>
  <c r="S129" i="2"/>
  <c r="F59" i="16"/>
  <c r="S59" i="2"/>
  <c r="F177" i="16"/>
  <c r="F93" i="16"/>
  <c r="F100" i="16"/>
  <c r="S100" i="2"/>
  <c r="F31" i="16"/>
  <c r="F34" i="16"/>
  <c r="F95" i="16"/>
  <c r="F143" i="16"/>
  <c r="S143" i="2"/>
  <c r="F13" i="16"/>
  <c r="S13" i="2"/>
  <c r="F160" i="16"/>
  <c r="S160" i="2"/>
  <c r="F29" i="16"/>
  <c r="S29" i="2"/>
  <c r="F142" i="16"/>
  <c r="S142" i="2"/>
  <c r="F155" i="16"/>
  <c r="S155" i="2"/>
  <c r="F81" i="16"/>
  <c r="S81" i="2"/>
  <c r="F60" i="16"/>
  <c r="S60" i="2"/>
  <c r="F14" i="16"/>
  <c r="F74" i="16"/>
  <c r="F178" i="16"/>
  <c r="F154" i="16"/>
  <c r="F153" i="16"/>
  <c r="F163" i="16"/>
  <c r="F15" i="16"/>
  <c r="F127" i="16"/>
  <c r="S127" i="2"/>
  <c r="F144" i="16"/>
  <c r="S144" i="2"/>
  <c r="F61" i="16"/>
  <c r="F115" i="16"/>
  <c r="S115" i="2"/>
  <c r="F130" i="16"/>
  <c r="S130" i="2"/>
  <c r="F51" i="16"/>
  <c r="S51" i="2"/>
  <c r="F16" i="16"/>
  <c r="S16" i="2"/>
  <c r="F123" i="16"/>
  <c r="F174" i="16"/>
  <c r="F150" i="16"/>
  <c r="S150" i="2"/>
  <c r="F67" i="16"/>
  <c r="F66" i="16"/>
  <c r="F175" i="16"/>
  <c r="F71" i="16"/>
  <c r="S71" i="2"/>
  <c r="F75" i="16"/>
  <c r="S75" i="2"/>
  <c r="F45" i="16"/>
  <c r="S45" i="2"/>
  <c r="F191" i="16"/>
  <c r="S191" i="2"/>
  <c r="F12" i="16"/>
  <c r="S12" i="2"/>
  <c r="F79" i="16"/>
  <c r="S79" i="2"/>
  <c r="F92" i="16"/>
  <c r="S92" i="2"/>
  <c r="F121" i="16"/>
  <c r="S121" i="2"/>
  <c r="F188" i="16"/>
  <c r="F98" i="16"/>
  <c r="F187" i="16"/>
  <c r="F70" i="16"/>
  <c r="F77" i="16"/>
  <c r="F184" i="16"/>
  <c r="F189" i="16"/>
  <c r="S189" i="2"/>
  <c r="F148" i="16"/>
  <c r="S148" i="2"/>
  <c r="F157" i="16"/>
  <c r="S157" i="2"/>
  <c r="F134" i="16"/>
  <c r="S134" i="2"/>
  <c r="F185" i="16"/>
  <c r="S185" i="2"/>
  <c r="F166" i="16"/>
  <c r="S166" i="2"/>
  <c r="F182" i="16"/>
  <c r="S182" i="2"/>
  <c r="F22" i="16"/>
  <c r="S22" i="2"/>
  <c r="F152" i="16"/>
  <c r="F116" i="16"/>
  <c r="F69" i="16"/>
  <c r="S69" i="2"/>
  <c r="F137" i="16"/>
  <c r="F87" i="16"/>
  <c r="F99" i="16"/>
  <c r="F176" i="16"/>
  <c r="F110" i="16"/>
  <c r="F114" i="16"/>
  <c r="S114" i="2"/>
  <c r="F108" i="16"/>
  <c r="F149" i="16"/>
  <c r="S149" i="2"/>
  <c r="F105" i="16"/>
  <c r="S105" i="2"/>
  <c r="F181" i="16"/>
  <c r="S181" i="2"/>
  <c r="F193" i="16"/>
  <c r="S193" i="2"/>
  <c r="F190" i="16"/>
  <c r="F172" i="16"/>
  <c r="F62" i="16"/>
  <c r="F139" i="16"/>
  <c r="F104" i="16"/>
  <c r="F78" i="16"/>
  <c r="F186" i="16"/>
  <c r="S186" i="2"/>
  <c r="F101" i="16"/>
  <c r="S101" i="2"/>
  <c r="F151" i="16"/>
  <c r="S151" i="2"/>
  <c r="F90" i="16"/>
  <c r="S90" i="2"/>
  <c r="F91" i="16"/>
  <c r="S91" i="2"/>
  <c r="F124" i="16"/>
  <c r="S124" i="2"/>
  <c r="F156" i="16"/>
  <c r="S156" i="2"/>
  <c r="F19" i="16"/>
  <c r="S19" i="2"/>
  <c r="F158" i="16"/>
  <c r="F5" i="16"/>
  <c r="F106" i="16"/>
  <c r="F107" i="16"/>
  <c r="F133" i="16"/>
  <c r="F64" i="16"/>
  <c r="F173" i="16"/>
  <c r="S173" i="2"/>
  <c r="F72" i="16"/>
  <c r="S72" i="2"/>
  <c r="F23" i="16"/>
  <c r="S23" i="2"/>
  <c r="F88" i="16"/>
  <c r="F169" i="16"/>
  <c r="F85" i="16"/>
  <c r="S85" i="2"/>
  <c r="F171" i="16"/>
  <c r="S171" i="2"/>
  <c r="F65" i="16"/>
  <c r="S65" i="2"/>
  <c r="F180" i="16"/>
  <c r="F126" i="16"/>
  <c r="F131" i="16"/>
  <c r="F183" i="16"/>
  <c r="F82" i="16"/>
  <c r="F96" i="16"/>
  <c r="F73" i="16"/>
  <c r="S73" i="2"/>
  <c r="F3" i="16"/>
  <c r="S3" i="2"/>
  <c r="F6" i="16"/>
  <c r="S6" i="2"/>
  <c r="F103" i="16"/>
  <c r="S103" i="2"/>
  <c r="F8" i="16"/>
  <c r="S8" i="2"/>
  <c r="F38" i="16"/>
  <c r="S38" i="2"/>
  <c r="F27" i="16"/>
  <c r="S27" i="2"/>
  <c r="F83" i="16"/>
  <c r="S83" i="2"/>
  <c r="F80" i="16"/>
  <c r="F102" i="16"/>
  <c r="F89" i="16"/>
  <c r="F4" i="16"/>
  <c r="F168" i="16"/>
  <c r="F76" i="16"/>
  <c r="F57" i="16"/>
  <c r="F36" i="16"/>
  <c r="S36" i="2"/>
  <c r="F86" i="16"/>
  <c r="S86" i="2"/>
  <c r="F37" i="16"/>
  <c r="S37" i="2"/>
  <c r="F2" i="16"/>
  <c r="S2" i="2"/>
  <c r="F17" i="16"/>
  <c r="S17" i="2"/>
  <c r="F179" i="16"/>
  <c r="S179" i="2"/>
  <c r="F94" i="16"/>
  <c r="S94" i="2"/>
  <c r="F84" i="16"/>
  <c r="F30" i="16"/>
  <c r="F35" i="16"/>
  <c r="S35" i="2"/>
  <c r="F24" i="16"/>
  <c r="F68" i="16"/>
  <c r="F63" i="16"/>
  <c r="F49" i="16"/>
  <c r="F39" i="16"/>
  <c r="S39" i="2"/>
  <c r="F48" i="16"/>
  <c r="S48" i="2"/>
  <c r="F40" i="16"/>
  <c r="F53" i="16"/>
  <c r="F42" i="16"/>
  <c r="S42" i="2"/>
  <c r="F54" i="16"/>
  <c r="S54" i="2"/>
  <c r="F43" i="16"/>
  <c r="S43" i="2"/>
  <c r="F52" i="16"/>
  <c r="F44" i="16"/>
  <c r="F55" i="16"/>
  <c r="F41" i="16"/>
  <c r="F7" i="16"/>
  <c r="F56" i="16"/>
  <c r="F25" i="16"/>
  <c r="S25" i="2"/>
  <c r="F26" i="16"/>
  <c r="S26" i="2"/>
  <c r="F161" i="16"/>
  <c r="S161" i="2"/>
  <c r="F11" i="16"/>
  <c r="S9" i="2"/>
  <c r="F117" i="14"/>
  <c r="F111" i="14"/>
  <c r="R111" i="2" s="1"/>
  <c r="F125" i="14"/>
  <c r="R125" i="2" s="1"/>
  <c r="F165" i="14"/>
  <c r="F119" i="14"/>
  <c r="R119" i="2" s="1"/>
  <c r="F135" i="14"/>
  <c r="R135" i="2" s="1"/>
  <c r="F109" i="14"/>
  <c r="R109" i="2" s="1"/>
  <c r="F18" i="14"/>
  <c r="R18" i="2" s="1"/>
  <c r="F21" i="14"/>
  <c r="R21" i="2" s="1"/>
  <c r="F20" i="14"/>
  <c r="R20" i="2" s="1"/>
  <c r="F97" i="14"/>
  <c r="R97" i="2" s="1"/>
  <c r="F10" i="14"/>
  <c r="R11" i="2" s="1"/>
  <c r="F28" i="14"/>
  <c r="R28" i="2" s="1"/>
  <c r="F136" i="14"/>
  <c r="R136" i="2" s="1"/>
  <c r="F9" i="14"/>
  <c r="F147" i="14"/>
  <c r="R147" i="2" s="1"/>
  <c r="F118" i="14"/>
  <c r="R118" i="2" s="1"/>
  <c r="F120" i="14"/>
  <c r="R120" i="2" s="1"/>
  <c r="F140" i="14"/>
  <c r="R140" i="2" s="1"/>
  <c r="F192" i="14"/>
  <c r="R192" i="2" s="1"/>
  <c r="F46" i="14"/>
  <c r="R46" i="2" s="1"/>
  <c r="F47" i="14"/>
  <c r="R47" i="2" s="1"/>
  <c r="F170" i="14"/>
  <c r="R170" i="2" s="1"/>
  <c r="F58" i="14"/>
  <c r="R58" i="2" s="1"/>
  <c r="F112" i="14"/>
  <c r="R112" i="2" s="1"/>
  <c r="F122" i="14"/>
  <c r="R122" i="2" s="1"/>
  <c r="F167" i="14"/>
  <c r="R167" i="2" s="1"/>
  <c r="F33" i="14"/>
  <c r="R33" i="2" s="1"/>
  <c r="F162" i="14"/>
  <c r="R162" i="2" s="1"/>
  <c r="F132" i="14"/>
  <c r="R132" i="2" s="1"/>
  <c r="F32" i="14"/>
  <c r="R32" i="2" s="1"/>
  <c r="F113" i="14"/>
  <c r="R113" i="2" s="1"/>
  <c r="F146" i="14"/>
  <c r="R146" i="2" s="1"/>
  <c r="F159" i="14"/>
  <c r="R159" i="2" s="1"/>
  <c r="F164" i="14"/>
  <c r="R164" i="2" s="1"/>
  <c r="F128" i="14"/>
  <c r="R128" i="2" s="1"/>
  <c r="F138" i="14"/>
  <c r="R138" i="2" s="1"/>
  <c r="F145" i="14"/>
  <c r="R145" i="2" s="1"/>
  <c r="F141" i="14"/>
  <c r="R141" i="2" s="1"/>
  <c r="F50" i="14"/>
  <c r="R50" i="2" s="1"/>
  <c r="F129" i="14"/>
  <c r="R129" i="2" s="1"/>
  <c r="F59" i="14"/>
  <c r="R59" i="2" s="1"/>
  <c r="F177" i="14"/>
  <c r="R177" i="2" s="1"/>
  <c r="F93" i="14"/>
  <c r="R93" i="2" s="1"/>
  <c r="F100" i="14"/>
  <c r="R100" i="2" s="1"/>
  <c r="F31" i="14"/>
  <c r="R31" i="2" s="1"/>
  <c r="F34" i="14"/>
  <c r="R34" i="2" s="1"/>
  <c r="F95" i="14"/>
  <c r="R95" i="2" s="1"/>
  <c r="F143" i="14"/>
  <c r="R143" i="2" s="1"/>
  <c r="F13" i="14"/>
  <c r="R13" i="2" s="1"/>
  <c r="F160" i="14"/>
  <c r="R160" i="2" s="1"/>
  <c r="F29" i="14"/>
  <c r="R29" i="2" s="1"/>
  <c r="F142" i="14"/>
  <c r="R142" i="2" s="1"/>
  <c r="F155" i="14"/>
  <c r="R155" i="2" s="1"/>
  <c r="F81" i="14"/>
  <c r="R81" i="2" s="1"/>
  <c r="F60" i="14"/>
  <c r="R60" i="2" s="1"/>
  <c r="F14" i="14"/>
  <c r="R14" i="2" s="1"/>
  <c r="F74" i="14"/>
  <c r="R74" i="2" s="1"/>
  <c r="F178" i="14"/>
  <c r="R178" i="2" s="1"/>
  <c r="F154" i="14"/>
  <c r="R154" i="2" s="1"/>
  <c r="F153" i="14"/>
  <c r="R153" i="2" s="1"/>
  <c r="F163" i="14"/>
  <c r="R163" i="2" s="1"/>
  <c r="F15" i="14"/>
  <c r="R15" i="2" s="1"/>
  <c r="F127" i="14"/>
  <c r="R127" i="2" s="1"/>
  <c r="F144" i="14"/>
  <c r="R144" i="2" s="1"/>
  <c r="F61" i="14"/>
  <c r="R61" i="2" s="1"/>
  <c r="F115" i="14"/>
  <c r="R115" i="2" s="1"/>
  <c r="F130" i="14"/>
  <c r="R130" i="2" s="1"/>
  <c r="F51" i="14"/>
  <c r="R51" i="2" s="1"/>
  <c r="F16" i="14"/>
  <c r="R16" i="2" s="1"/>
  <c r="F123" i="14"/>
  <c r="R123" i="2" s="1"/>
  <c r="F174" i="14"/>
  <c r="R174" i="2" s="1"/>
  <c r="F150" i="14"/>
  <c r="R150" i="2" s="1"/>
  <c r="F67" i="14"/>
  <c r="R67" i="2" s="1"/>
  <c r="F66" i="14"/>
  <c r="R66" i="2" s="1"/>
  <c r="F175" i="14"/>
  <c r="R175" i="2" s="1"/>
  <c r="F71" i="14"/>
  <c r="R71" i="2" s="1"/>
  <c r="F75" i="14"/>
  <c r="R75" i="2" s="1"/>
  <c r="F45" i="14"/>
  <c r="R45" i="2" s="1"/>
  <c r="F191" i="14"/>
  <c r="R191" i="2" s="1"/>
  <c r="F12" i="14"/>
  <c r="R12" i="2" s="1"/>
  <c r="F79" i="14"/>
  <c r="R79" i="2" s="1"/>
  <c r="F92" i="14"/>
  <c r="R92" i="2" s="1"/>
  <c r="F121" i="14"/>
  <c r="R121" i="2" s="1"/>
  <c r="F188" i="14"/>
  <c r="R188" i="2" s="1"/>
  <c r="F98" i="14"/>
  <c r="R98" i="2" s="1"/>
  <c r="F187" i="14"/>
  <c r="R187" i="2" s="1"/>
  <c r="F70" i="14"/>
  <c r="R70" i="2" s="1"/>
  <c r="F77" i="14"/>
  <c r="R77" i="2" s="1"/>
  <c r="F184" i="14"/>
  <c r="R184" i="2" s="1"/>
  <c r="F189" i="14"/>
  <c r="R189" i="2" s="1"/>
  <c r="F148" i="14"/>
  <c r="R148" i="2" s="1"/>
  <c r="F157" i="14"/>
  <c r="R157" i="2" s="1"/>
  <c r="F134" i="14"/>
  <c r="R134" i="2" s="1"/>
  <c r="F185" i="14"/>
  <c r="R185" i="2" s="1"/>
  <c r="F166" i="14"/>
  <c r="R166" i="2" s="1"/>
  <c r="F182" i="14"/>
  <c r="R182" i="2" s="1"/>
  <c r="F22" i="14"/>
  <c r="R22" i="2" s="1"/>
  <c r="F152" i="14"/>
  <c r="R152" i="2" s="1"/>
  <c r="F116" i="14"/>
  <c r="R116" i="2" s="1"/>
  <c r="F69" i="14"/>
  <c r="R69" i="2" s="1"/>
  <c r="F137" i="14"/>
  <c r="R137" i="2" s="1"/>
  <c r="F87" i="14"/>
  <c r="R87" i="2" s="1"/>
  <c r="F99" i="14"/>
  <c r="R99" i="2" s="1"/>
  <c r="F176" i="14"/>
  <c r="R176" i="2" s="1"/>
  <c r="F110" i="14"/>
  <c r="R110" i="2" s="1"/>
  <c r="F114" i="14"/>
  <c r="R114" i="2" s="1"/>
  <c r="F108" i="14"/>
  <c r="R108" i="2" s="1"/>
  <c r="F149" i="14"/>
  <c r="R149" i="2" s="1"/>
  <c r="F105" i="14"/>
  <c r="R105" i="2" s="1"/>
  <c r="F181" i="14"/>
  <c r="R181" i="2" s="1"/>
  <c r="F193" i="14"/>
  <c r="R193" i="2" s="1"/>
  <c r="F190" i="14"/>
  <c r="R190" i="2" s="1"/>
  <c r="F172" i="14"/>
  <c r="R172" i="2" s="1"/>
  <c r="F62" i="14"/>
  <c r="R62" i="2" s="1"/>
  <c r="F139" i="14"/>
  <c r="R139" i="2" s="1"/>
  <c r="F104" i="14"/>
  <c r="R104" i="2" s="1"/>
  <c r="F78" i="14"/>
  <c r="R78" i="2" s="1"/>
  <c r="F186" i="14"/>
  <c r="R186" i="2" s="1"/>
  <c r="F101" i="14"/>
  <c r="R101" i="2" s="1"/>
  <c r="F151" i="14"/>
  <c r="R151" i="2" s="1"/>
  <c r="F90" i="14"/>
  <c r="R90" i="2" s="1"/>
  <c r="F91" i="14"/>
  <c r="R91" i="2" s="1"/>
  <c r="F124" i="14"/>
  <c r="R124" i="2" s="1"/>
  <c r="F156" i="14"/>
  <c r="R156" i="2" s="1"/>
  <c r="F19" i="14"/>
  <c r="R19" i="2" s="1"/>
  <c r="F158" i="14"/>
  <c r="R158" i="2" s="1"/>
  <c r="F5" i="14"/>
  <c r="R5" i="2" s="1"/>
  <c r="F106" i="14"/>
  <c r="R106" i="2" s="1"/>
  <c r="F107" i="14"/>
  <c r="R107" i="2" s="1"/>
  <c r="F133" i="14"/>
  <c r="R133" i="2" s="1"/>
  <c r="F64" i="14"/>
  <c r="R64" i="2" s="1"/>
  <c r="F173" i="14"/>
  <c r="R173" i="2" s="1"/>
  <c r="F72" i="14"/>
  <c r="R72" i="2" s="1"/>
  <c r="F23" i="14"/>
  <c r="R23" i="2" s="1"/>
  <c r="F88" i="14"/>
  <c r="R88" i="2" s="1"/>
  <c r="F169" i="14"/>
  <c r="R169" i="2" s="1"/>
  <c r="F85" i="14"/>
  <c r="R85" i="2" s="1"/>
  <c r="F171" i="14"/>
  <c r="R171" i="2" s="1"/>
  <c r="F65" i="14"/>
  <c r="R65" i="2" s="1"/>
  <c r="F180" i="14"/>
  <c r="R180" i="2" s="1"/>
  <c r="F126" i="14"/>
  <c r="R126" i="2" s="1"/>
  <c r="F131" i="14"/>
  <c r="R131" i="2" s="1"/>
  <c r="F183" i="14"/>
  <c r="R183" i="2" s="1"/>
  <c r="F82" i="14"/>
  <c r="R82" i="2" s="1"/>
  <c r="F96" i="14"/>
  <c r="R96" i="2" s="1"/>
  <c r="F73" i="14"/>
  <c r="R73" i="2" s="1"/>
  <c r="F3" i="14"/>
  <c r="R3" i="2" s="1"/>
  <c r="F6" i="14"/>
  <c r="R6" i="2" s="1"/>
  <c r="F103" i="14"/>
  <c r="R103" i="2" s="1"/>
  <c r="F8" i="14"/>
  <c r="R8" i="2" s="1"/>
  <c r="F38" i="14"/>
  <c r="R38" i="2" s="1"/>
  <c r="F27" i="14"/>
  <c r="R27" i="2" s="1"/>
  <c r="F83" i="14"/>
  <c r="R83" i="2" s="1"/>
  <c r="F80" i="14"/>
  <c r="R80" i="2" s="1"/>
  <c r="F102" i="14"/>
  <c r="R102" i="2" s="1"/>
  <c r="F89" i="14"/>
  <c r="R89" i="2" s="1"/>
  <c r="F4" i="14"/>
  <c r="R4" i="2" s="1"/>
  <c r="F168" i="14"/>
  <c r="R168" i="2" s="1"/>
  <c r="F76" i="14"/>
  <c r="R76" i="2" s="1"/>
  <c r="F57" i="14"/>
  <c r="R57" i="2" s="1"/>
  <c r="F36" i="14"/>
  <c r="R36" i="2" s="1"/>
  <c r="F86" i="14"/>
  <c r="R86" i="2" s="1"/>
  <c r="F37" i="14"/>
  <c r="R37" i="2" s="1"/>
  <c r="F2" i="14"/>
  <c r="R2" i="2" s="1"/>
  <c r="F17" i="14"/>
  <c r="R17" i="2" s="1"/>
  <c r="F179" i="14"/>
  <c r="R179" i="2" s="1"/>
  <c r="F94" i="14"/>
  <c r="R94" i="2" s="1"/>
  <c r="F84" i="14"/>
  <c r="R84" i="2" s="1"/>
  <c r="F30" i="14"/>
  <c r="R30" i="2" s="1"/>
  <c r="F35" i="14"/>
  <c r="R35" i="2" s="1"/>
  <c r="F24" i="14"/>
  <c r="R24" i="2" s="1"/>
  <c r="F68" i="14"/>
  <c r="R68" i="2" s="1"/>
  <c r="F63" i="14"/>
  <c r="R63" i="2" s="1"/>
  <c r="F49" i="14"/>
  <c r="R49" i="2" s="1"/>
  <c r="F39" i="14"/>
  <c r="R39" i="2" s="1"/>
  <c r="F48" i="14"/>
  <c r="R48" i="2" s="1"/>
  <c r="F40" i="14"/>
  <c r="R40" i="2" s="1"/>
  <c r="F53" i="14"/>
  <c r="R53" i="2" s="1"/>
  <c r="F42" i="14"/>
  <c r="R42" i="2" s="1"/>
  <c r="F54" i="14"/>
  <c r="R54" i="2" s="1"/>
  <c r="F43" i="14"/>
  <c r="R43" i="2" s="1"/>
  <c r="F52" i="14"/>
  <c r="R52" i="2" s="1"/>
  <c r="F44" i="14"/>
  <c r="R44" i="2" s="1"/>
  <c r="F55" i="14"/>
  <c r="R55" i="2" s="1"/>
  <c r="F41" i="14"/>
  <c r="R41" i="2" s="1"/>
  <c r="F7" i="14"/>
  <c r="R7" i="2" s="1"/>
  <c r="F56" i="14"/>
  <c r="R56" i="2" s="1"/>
  <c r="F25" i="14"/>
  <c r="R25" i="2" s="1"/>
  <c r="F26" i="14"/>
  <c r="R26" i="2" s="1"/>
  <c r="F161" i="14"/>
  <c r="R161" i="2" s="1"/>
  <c r="F11" i="14"/>
  <c r="R9" i="2" s="1"/>
  <c r="F109" i="13"/>
  <c r="F110" i="13"/>
  <c r="F111" i="13"/>
  <c r="F112" i="13"/>
  <c r="Q165" i="2"/>
  <c r="F113" i="13"/>
  <c r="F114" i="13"/>
  <c r="Q135" i="2"/>
  <c r="F115" i="13"/>
  <c r="Q109" i="2"/>
  <c r="F18" i="13"/>
  <c r="Q18" i="2"/>
  <c r="F19" i="13"/>
  <c r="Q21" i="2"/>
  <c r="F20" i="13"/>
  <c r="Q20" i="2"/>
  <c r="F97" i="13"/>
  <c r="Q97" i="2"/>
  <c r="F10" i="13"/>
  <c r="Q11" i="2"/>
  <c r="F24" i="13"/>
  <c r="Q28" i="2"/>
  <c r="F116" i="13"/>
  <c r="Q136" i="2"/>
  <c r="F9" i="13"/>
  <c r="F117" i="13"/>
  <c r="F118" i="13"/>
  <c r="F119" i="13"/>
  <c r="Q120" i="2"/>
  <c r="F120" i="13"/>
  <c r="Q140" i="2"/>
  <c r="F192" i="13"/>
  <c r="Q192" i="2"/>
  <c r="F25" i="13"/>
  <c r="Q46" i="2"/>
  <c r="F26" i="13"/>
  <c r="Q47" i="2"/>
  <c r="F170" i="13"/>
  <c r="Q170" i="2" s="1"/>
  <c r="F27" i="13"/>
  <c r="Q58" i="2"/>
  <c r="F121" i="13"/>
  <c r="Q112" i="2"/>
  <c r="F122" i="13"/>
  <c r="Q122" i="2"/>
  <c r="F123" i="13"/>
  <c r="Q167" i="2"/>
  <c r="F28" i="13"/>
  <c r="Q33" i="2"/>
  <c r="F124" i="13"/>
  <c r="F125" i="13"/>
  <c r="F29" i="13"/>
  <c r="F126" i="13"/>
  <c r="F127" i="13"/>
  <c r="Q146" i="2"/>
  <c r="F128" i="13"/>
  <c r="Q159" i="2"/>
  <c r="F129" i="13"/>
  <c r="Q164" i="2"/>
  <c r="F130" i="13"/>
  <c r="Q128" i="2"/>
  <c r="F131" i="13"/>
  <c r="Q138" i="2"/>
  <c r="F132" i="13"/>
  <c r="Q145" i="2"/>
  <c r="F133" i="13"/>
  <c r="Q141" i="2"/>
  <c r="F30" i="13"/>
  <c r="Q50" i="2"/>
  <c r="F134" i="13"/>
  <c r="Q129" i="2"/>
  <c r="F31" i="13"/>
  <c r="Q59" i="2"/>
  <c r="F177" i="13"/>
  <c r="F93" i="13"/>
  <c r="F100" i="13"/>
  <c r="F32" i="13"/>
  <c r="Q31" i="2"/>
  <c r="F33" i="13"/>
  <c r="F95" i="13"/>
  <c r="Q95" i="2" s="1"/>
  <c r="F135" i="13"/>
  <c r="Q143" i="2"/>
  <c r="F13" i="13"/>
  <c r="Q13" i="2"/>
  <c r="F136" i="13"/>
  <c r="Q160" i="2"/>
  <c r="F34" i="13"/>
  <c r="Q29" i="2"/>
  <c r="F137" i="13"/>
  <c r="Q142" i="2"/>
  <c r="F138" i="13"/>
  <c r="Q155" i="2"/>
  <c r="F63" i="13"/>
  <c r="Q81" i="2"/>
  <c r="F35" i="13"/>
  <c r="Q60" i="2"/>
  <c r="F14" i="13"/>
  <c r="F64" i="13"/>
  <c r="F178" i="13"/>
  <c r="F139" i="13"/>
  <c r="F140" i="13"/>
  <c r="Q153" i="2"/>
  <c r="F141" i="13"/>
  <c r="Q163" i="2"/>
  <c r="F15" i="13"/>
  <c r="Q15" i="2" s="1"/>
  <c r="F142" i="13"/>
  <c r="Q127" i="2"/>
  <c r="F143" i="13"/>
  <c r="Q144" i="2"/>
  <c r="F36" i="13"/>
  <c r="Q61" i="2"/>
  <c r="F144" i="13"/>
  <c r="Q115" i="2"/>
  <c r="F145" i="13"/>
  <c r="Q130" i="2"/>
  <c r="F37" i="13"/>
  <c r="Q51" i="2"/>
  <c r="F16" i="13"/>
  <c r="Q16" i="2"/>
  <c r="F146" i="13"/>
  <c r="F174" i="13"/>
  <c r="F147" i="13"/>
  <c r="F65" i="13"/>
  <c r="F66" i="13"/>
  <c r="Q66" i="2"/>
  <c r="F175" i="13"/>
  <c r="Q175" i="2" s="1"/>
  <c r="F67" i="13"/>
  <c r="Q71" i="2"/>
  <c r="F68" i="13"/>
  <c r="Q75" i="2"/>
  <c r="F38" i="13"/>
  <c r="Q45" i="2"/>
  <c r="F191" i="13"/>
  <c r="Q191" i="2" s="1"/>
  <c r="F12" i="13"/>
  <c r="Q12" i="2" s="1"/>
  <c r="F69" i="13"/>
  <c r="Q79" i="2"/>
  <c r="F70" i="13"/>
  <c r="Q92" i="2"/>
  <c r="F148" i="13"/>
  <c r="Q121" i="2"/>
  <c r="F188" i="13"/>
  <c r="Q188" i="2" s="1"/>
  <c r="F98" i="13"/>
  <c r="F187" i="13"/>
  <c r="F71" i="13"/>
  <c r="Q70" i="2"/>
  <c r="F72" i="13"/>
  <c r="F184" i="13"/>
  <c r="Q184" i="2" s="1"/>
  <c r="F189" i="13"/>
  <c r="Q189" i="2"/>
  <c r="F149" i="13"/>
  <c r="Q148" i="2"/>
  <c r="F150" i="13"/>
  <c r="Q157" i="2"/>
  <c r="F151" i="13"/>
  <c r="Q134" i="2"/>
  <c r="F185" i="13"/>
  <c r="Q185" i="2"/>
  <c r="F152" i="13"/>
  <c r="Q166" i="2"/>
  <c r="F182" i="13"/>
  <c r="Q182" i="2" s="1"/>
  <c r="F21" i="13"/>
  <c r="Q22" i="2"/>
  <c r="F153" i="13"/>
  <c r="F154" i="13"/>
  <c r="F73" i="13"/>
  <c r="Q69" i="2"/>
  <c r="F155" i="13"/>
  <c r="Q137" i="2"/>
  <c r="F74" i="13"/>
  <c r="Q87" i="2"/>
  <c r="F99" i="13"/>
  <c r="Q99" i="2" s="1"/>
  <c r="F176" i="13"/>
  <c r="Q176" i="2" s="1"/>
  <c r="F156" i="13"/>
  <c r="Q110" i="2"/>
  <c r="F157" i="13"/>
  <c r="Q114" i="2"/>
  <c r="F108" i="13"/>
  <c r="Q108" i="2"/>
  <c r="F158" i="13"/>
  <c r="Q149" i="2"/>
  <c r="F105" i="13"/>
  <c r="Q105" i="2"/>
  <c r="F181" i="13"/>
  <c r="Q181" i="2" s="1"/>
  <c r="F193" i="13"/>
  <c r="Q193" i="2" s="1"/>
  <c r="F190" i="13"/>
  <c r="F172" i="13"/>
  <c r="F39" i="13"/>
  <c r="F159" i="13"/>
  <c r="F104" i="13"/>
  <c r="F75" i="13"/>
  <c r="F186" i="13"/>
  <c r="Q186" i="2" s="1"/>
  <c r="F101" i="13"/>
  <c r="Q101" i="2"/>
  <c r="F160" i="13"/>
  <c r="Q151" i="2"/>
  <c r="F76" i="13"/>
  <c r="Q90" i="2"/>
  <c r="F77" i="13"/>
  <c r="Q91" i="2"/>
  <c r="F161" i="13"/>
  <c r="Q124" i="2"/>
  <c r="F162" i="13"/>
  <c r="Q156" i="2"/>
  <c r="F22" i="13"/>
  <c r="Q19" i="2"/>
  <c r="F163" i="13"/>
  <c r="F5" i="13"/>
  <c r="Q5" i="2" s="1"/>
  <c r="F106" i="13"/>
  <c r="Q106" i="2" s="1"/>
  <c r="F107" i="13"/>
  <c r="Q107" i="2"/>
  <c r="F164" i="13"/>
  <c r="Q133" i="2"/>
  <c r="F78" i="13"/>
  <c r="Q64" i="2"/>
  <c r="F173" i="13"/>
  <c r="Q173" i="2" s="1"/>
  <c r="F79" i="13"/>
  <c r="Q72" i="2"/>
  <c r="F23" i="13"/>
  <c r="Q23" i="2"/>
  <c r="F80" i="13"/>
  <c r="Q88" i="2"/>
  <c r="F169" i="13"/>
  <c r="Q169" i="2"/>
  <c r="F81" i="13"/>
  <c r="Q85" i="2"/>
  <c r="F171" i="13"/>
  <c r="Q171" i="2"/>
  <c r="F82" i="13"/>
  <c r="Q65" i="2"/>
  <c r="F180" i="13"/>
  <c r="Q180" i="2" s="1"/>
  <c r="F165" i="13"/>
  <c r="F166" i="13"/>
  <c r="Q131" i="2"/>
  <c r="F183" i="13"/>
  <c r="Q183" i="2"/>
  <c r="F83" i="13"/>
  <c r="Q82" i="2"/>
  <c r="F96" i="13"/>
  <c r="Q96" i="2" s="1"/>
  <c r="F84" i="13"/>
  <c r="Q73" i="2"/>
  <c r="F3" i="13"/>
  <c r="Q3" i="2" s="1"/>
  <c r="F6" i="13"/>
  <c r="Q6" i="2"/>
  <c r="F103" i="13"/>
  <c r="Q103" i="2" s="1"/>
  <c r="F8" i="13"/>
  <c r="Q8" i="2"/>
  <c r="F40" i="13"/>
  <c r="Q38" i="2"/>
  <c r="F41" i="13"/>
  <c r="Q27" i="2"/>
  <c r="F85" i="13"/>
  <c r="Q83" i="2"/>
  <c r="F86" i="13"/>
  <c r="F102" i="13"/>
  <c r="F87" i="13"/>
  <c r="F4" i="13"/>
  <c r="Q4" i="2" s="1"/>
  <c r="F168" i="13"/>
  <c r="Q168" i="2" s="1"/>
  <c r="F88" i="13"/>
  <c r="Q76" i="2"/>
  <c r="F42" i="13"/>
  <c r="Q57" i="2"/>
  <c r="F43" i="13"/>
  <c r="Q36" i="2"/>
  <c r="F89" i="13"/>
  <c r="Q86" i="2"/>
  <c r="F44" i="13"/>
  <c r="Q37" i="2"/>
  <c r="F2" i="13"/>
  <c r="Q2" i="2"/>
  <c r="F17" i="13"/>
  <c r="Q17" i="2" s="1"/>
  <c r="F179" i="13"/>
  <c r="Q179" i="2"/>
  <c r="F94" i="13"/>
  <c r="Q94" i="2"/>
  <c r="F90" i="13"/>
  <c r="F45" i="13"/>
  <c r="F46" i="13"/>
  <c r="F47" i="13"/>
  <c r="Q24" i="2"/>
  <c r="F91" i="13"/>
  <c r="Q68" i="2"/>
  <c r="F92" i="13"/>
  <c r="Q63" i="2"/>
  <c r="F48" i="13"/>
  <c r="Q49" i="2"/>
  <c r="F49" i="13"/>
  <c r="Q39" i="2"/>
  <c r="F50" i="13"/>
  <c r="Q48" i="2"/>
  <c r="F51" i="13"/>
  <c r="Q40" i="2"/>
  <c r="F52" i="13"/>
  <c r="Q53" i="2"/>
  <c r="F53" i="13"/>
  <c r="Q42" i="2"/>
  <c r="F54" i="13"/>
  <c r="Q54" i="2"/>
  <c r="F55" i="13"/>
  <c r="Q43" i="2"/>
  <c r="F56" i="13"/>
  <c r="F57" i="13"/>
  <c r="F58" i="13"/>
  <c r="F59" i="13"/>
  <c r="Q41" i="2"/>
  <c r="F7" i="13"/>
  <c r="Q7" i="2"/>
  <c r="F60" i="13"/>
  <c r="Q56" i="2"/>
  <c r="F61" i="13"/>
  <c r="Q25" i="2"/>
  <c r="F62" i="13"/>
  <c r="Q26" i="2"/>
  <c r="F167" i="13"/>
  <c r="Q161" i="2"/>
  <c r="F11" i="13"/>
  <c r="Q9" i="2"/>
  <c r="F109" i="12"/>
  <c r="F110" i="12"/>
  <c r="F111" i="12"/>
  <c r="F112" i="12"/>
  <c r="F113" i="12"/>
  <c r="F114" i="12"/>
  <c r="P135" i="2"/>
  <c r="F115" i="12"/>
  <c r="P109" i="2"/>
  <c r="F18" i="12"/>
  <c r="P18" i="2"/>
  <c r="F21" i="12"/>
  <c r="P21" i="2" s="1"/>
  <c r="F20" i="12"/>
  <c r="P20" i="2"/>
  <c r="F97" i="12"/>
  <c r="P97" i="2"/>
  <c r="F2" i="12"/>
  <c r="P11" i="2"/>
  <c r="F24" i="12"/>
  <c r="P28" i="2"/>
  <c r="F116" i="12"/>
  <c r="P136" i="2"/>
  <c r="F3" i="12"/>
  <c r="F117" i="12"/>
  <c r="F118" i="12"/>
  <c r="F119" i="12"/>
  <c r="F120" i="12"/>
  <c r="F192" i="12"/>
  <c r="P192" i="2" s="1"/>
  <c r="F25" i="12"/>
  <c r="F26" i="12"/>
  <c r="P47" i="2"/>
  <c r="F170" i="12"/>
  <c r="P170" i="2" s="1"/>
  <c r="F27" i="12"/>
  <c r="P58" i="2"/>
  <c r="F121" i="12"/>
  <c r="P112" i="2"/>
  <c r="F122" i="12"/>
  <c r="P122" i="2"/>
  <c r="F123" i="12"/>
  <c r="F28" i="12"/>
  <c r="P33" i="2"/>
  <c r="F124" i="12"/>
  <c r="F125" i="12"/>
  <c r="F29" i="12"/>
  <c r="P32" i="2"/>
  <c r="F126" i="12"/>
  <c r="F127" i="12"/>
  <c r="F128" i="12"/>
  <c r="P159" i="2"/>
  <c r="F129" i="12"/>
  <c r="P164" i="2"/>
  <c r="F130" i="12"/>
  <c r="P128" i="2"/>
  <c r="F131" i="12"/>
  <c r="P138" i="2"/>
  <c r="F132" i="12"/>
  <c r="P145" i="2"/>
  <c r="F133" i="12"/>
  <c r="P141" i="2"/>
  <c r="F30" i="12"/>
  <c r="P50" i="2"/>
  <c r="F134" i="12"/>
  <c r="P129" i="2"/>
  <c r="F31" i="12"/>
  <c r="P59" i="2"/>
  <c r="F177" i="12"/>
  <c r="F93" i="12"/>
  <c r="F100" i="12"/>
  <c r="P100" i="2" s="1"/>
  <c r="F32" i="12"/>
  <c r="F33" i="12"/>
  <c r="F95" i="12"/>
  <c r="P95" i="2"/>
  <c r="F135" i="12"/>
  <c r="P143" i="2"/>
  <c r="F4" i="12"/>
  <c r="P13" i="2"/>
  <c r="F136" i="12"/>
  <c r="P160" i="2"/>
  <c r="F34" i="12"/>
  <c r="P29" i="2"/>
  <c r="F137" i="12"/>
  <c r="P142" i="2"/>
  <c r="F138" i="12"/>
  <c r="P155" i="2"/>
  <c r="F63" i="12"/>
  <c r="P81" i="2"/>
  <c r="F35" i="12"/>
  <c r="P60" i="2"/>
  <c r="F5" i="12"/>
  <c r="F64" i="12"/>
  <c r="F178" i="12"/>
  <c r="P178" i="2"/>
  <c r="F139" i="12"/>
  <c r="F140" i="12"/>
  <c r="F141" i="12"/>
  <c r="P163" i="2"/>
  <c r="F6" i="12"/>
  <c r="P15" i="2"/>
  <c r="F142" i="12"/>
  <c r="P127" i="2"/>
  <c r="F143" i="12"/>
  <c r="P144" i="2"/>
  <c r="F36" i="12"/>
  <c r="P61" i="2"/>
  <c r="F144" i="12"/>
  <c r="P115" i="2"/>
  <c r="F145" i="12"/>
  <c r="P130" i="2"/>
  <c r="F37" i="12"/>
  <c r="P51" i="2"/>
  <c r="F7" i="12"/>
  <c r="P16" i="2"/>
  <c r="F146" i="12"/>
  <c r="F174" i="12"/>
  <c r="F147" i="12"/>
  <c r="P150" i="2"/>
  <c r="F65" i="12"/>
  <c r="F66" i="12"/>
  <c r="F175" i="12"/>
  <c r="P175" i="2"/>
  <c r="F67" i="12"/>
  <c r="P71" i="2"/>
  <c r="F68" i="12"/>
  <c r="P75" i="2"/>
  <c r="F38" i="12"/>
  <c r="P45" i="2"/>
  <c r="F191" i="12"/>
  <c r="P191" i="2"/>
  <c r="F8" i="12"/>
  <c r="P12" i="2"/>
  <c r="F69" i="12"/>
  <c r="P79" i="2"/>
  <c r="F70" i="12"/>
  <c r="P92" i="2"/>
  <c r="F148" i="12"/>
  <c r="P121" i="2"/>
  <c r="F188" i="12"/>
  <c r="F98" i="12"/>
  <c r="F187" i="12"/>
  <c r="P187" i="2"/>
  <c r="F71" i="12"/>
  <c r="F72" i="12"/>
  <c r="F184" i="12"/>
  <c r="P184" i="2"/>
  <c r="F189" i="12"/>
  <c r="P189" i="2"/>
  <c r="F149" i="12"/>
  <c r="P148" i="2"/>
  <c r="F150" i="12"/>
  <c r="P157" i="2"/>
  <c r="F151" i="12"/>
  <c r="P134" i="2"/>
  <c r="F185" i="12"/>
  <c r="P185" i="2"/>
  <c r="F152" i="12"/>
  <c r="P166" i="2"/>
  <c r="F182" i="12"/>
  <c r="P182" i="2"/>
  <c r="F22" i="12"/>
  <c r="P22" i="2"/>
  <c r="F153" i="12"/>
  <c r="F154" i="12"/>
  <c r="F73" i="12"/>
  <c r="P69" i="2"/>
  <c r="F155" i="12"/>
  <c r="F74" i="12"/>
  <c r="F99" i="12"/>
  <c r="P99" i="2"/>
  <c r="F176" i="12"/>
  <c r="P176" i="2"/>
  <c r="F156" i="12"/>
  <c r="P110" i="2"/>
  <c r="F157" i="12"/>
  <c r="P114" i="2"/>
  <c r="F108" i="12"/>
  <c r="P108" i="2"/>
  <c r="F158" i="12"/>
  <c r="P149" i="2"/>
  <c r="F105" i="12"/>
  <c r="P105" i="2"/>
  <c r="F181" i="12"/>
  <c r="P181" i="2"/>
  <c r="F193" i="12"/>
  <c r="P193" i="2"/>
  <c r="F190" i="12"/>
  <c r="F172" i="12"/>
  <c r="P172" i="2" s="1"/>
  <c r="F39" i="12"/>
  <c r="P62" i="2"/>
  <c r="F159" i="12"/>
  <c r="F104" i="12"/>
  <c r="P104" i="2" s="1"/>
  <c r="F75" i="12"/>
  <c r="P78" i="2"/>
  <c r="F186" i="12"/>
  <c r="F101" i="12"/>
  <c r="P101" i="2" s="1"/>
  <c r="F160" i="12"/>
  <c r="P151" i="2"/>
  <c r="F76" i="12"/>
  <c r="P90" i="2"/>
  <c r="F77" i="12"/>
  <c r="P91" i="2"/>
  <c r="F161" i="12"/>
  <c r="P124" i="2"/>
  <c r="F162" i="12"/>
  <c r="P156" i="2"/>
  <c r="F19" i="12"/>
  <c r="P19" i="2"/>
  <c r="F163" i="12"/>
  <c r="F9" i="12"/>
  <c r="F106" i="12"/>
  <c r="P106" i="2" s="1"/>
  <c r="F107" i="12"/>
  <c r="P107" i="2" s="1"/>
  <c r="F164" i="12"/>
  <c r="F78" i="12"/>
  <c r="P64" i="2"/>
  <c r="F173" i="12"/>
  <c r="P173" i="2"/>
  <c r="F79" i="12"/>
  <c r="P72" i="2"/>
  <c r="F23" i="12"/>
  <c r="P23" i="2"/>
  <c r="F80" i="12"/>
  <c r="P88" i="2"/>
  <c r="F169" i="12"/>
  <c r="P169" i="2" s="1"/>
  <c r="F81" i="12"/>
  <c r="P85" i="2"/>
  <c r="F171" i="12"/>
  <c r="P171" i="2" s="1"/>
  <c r="F82" i="12"/>
  <c r="P65" i="2"/>
  <c r="F180" i="12"/>
  <c r="P180" i="2" s="1"/>
  <c r="F165" i="12"/>
  <c r="P126" i="2"/>
  <c r="F166" i="12"/>
  <c r="P131" i="2"/>
  <c r="F183" i="12"/>
  <c r="F83" i="12"/>
  <c r="F96" i="12"/>
  <c r="P96" i="2"/>
  <c r="F84" i="12"/>
  <c r="P73" i="2"/>
  <c r="F10" i="12"/>
  <c r="P3" i="2"/>
  <c r="F11" i="12"/>
  <c r="P6" i="2"/>
  <c r="F103" i="12"/>
  <c r="P103" i="2"/>
  <c r="F12" i="12"/>
  <c r="P8" i="2"/>
  <c r="F40" i="12"/>
  <c r="P38" i="2"/>
  <c r="F41" i="12"/>
  <c r="P27" i="2"/>
  <c r="F85" i="12"/>
  <c r="P83" i="2"/>
  <c r="F86" i="12"/>
  <c r="F102" i="12"/>
  <c r="F87" i="12"/>
  <c r="P89" i="2"/>
  <c r="F13" i="12"/>
  <c r="F168" i="12"/>
  <c r="F88" i="12"/>
  <c r="F42" i="12"/>
  <c r="P57" i="2"/>
  <c r="F43" i="12"/>
  <c r="P36" i="2"/>
  <c r="F89" i="12"/>
  <c r="P86" i="2"/>
  <c r="F44" i="12"/>
  <c r="P37" i="2"/>
  <c r="F14" i="12"/>
  <c r="P2" i="2"/>
  <c r="F15" i="12"/>
  <c r="P17" i="2"/>
  <c r="F179" i="12"/>
  <c r="P179" i="2"/>
  <c r="F94" i="12"/>
  <c r="P94" i="2" s="1"/>
  <c r="F90" i="12"/>
  <c r="F45" i="12"/>
  <c r="P30" i="2"/>
  <c r="F46" i="12"/>
  <c r="P35" i="2"/>
  <c r="F47" i="12"/>
  <c r="F91" i="12"/>
  <c r="F92" i="12"/>
  <c r="P63" i="2"/>
  <c r="F48" i="12"/>
  <c r="P49" i="2"/>
  <c r="F49" i="12"/>
  <c r="P39" i="2"/>
  <c r="F50" i="12"/>
  <c r="P48" i="2"/>
  <c r="F51" i="12"/>
  <c r="P40" i="2"/>
  <c r="F52" i="12"/>
  <c r="P53" i="2"/>
  <c r="F53" i="12"/>
  <c r="P42" i="2"/>
  <c r="F54" i="12"/>
  <c r="P54" i="2"/>
  <c r="F55" i="12"/>
  <c r="P43" i="2"/>
  <c r="F56" i="12"/>
  <c r="F57" i="12"/>
  <c r="F58" i="12"/>
  <c r="P55" i="2"/>
  <c r="F59" i="12"/>
  <c r="F16" i="12"/>
  <c r="F60" i="12"/>
  <c r="P56" i="2"/>
  <c r="F61" i="12"/>
  <c r="P25" i="2"/>
  <c r="F62" i="12"/>
  <c r="P26" i="2"/>
  <c r="F167" i="12"/>
  <c r="P161" i="2"/>
  <c r="F17" i="12"/>
  <c r="P9" i="2"/>
  <c r="F117" i="11"/>
  <c r="O117" i="2"/>
  <c r="F111" i="11"/>
  <c r="O111" i="2"/>
  <c r="F125" i="11"/>
  <c r="O125" i="2"/>
  <c r="F165" i="11"/>
  <c r="O165" i="2" s="1"/>
  <c r="F119" i="11"/>
  <c r="F135" i="11"/>
  <c r="F109" i="11"/>
  <c r="F18" i="11"/>
  <c r="F21" i="11"/>
  <c r="F20" i="11"/>
  <c r="F93" i="11"/>
  <c r="O97" i="2"/>
  <c r="F2" i="11"/>
  <c r="O11" i="2"/>
  <c r="F24" i="11"/>
  <c r="O28" i="2"/>
  <c r="F136" i="11"/>
  <c r="O136" i="2" s="1"/>
  <c r="F3" i="11"/>
  <c r="O10" i="2"/>
  <c r="F147" i="11"/>
  <c r="O147" i="2"/>
  <c r="F118" i="11"/>
  <c r="O118" i="2" s="1"/>
  <c r="F120" i="11"/>
  <c r="O120" i="2"/>
  <c r="F140" i="11"/>
  <c r="F168" i="11"/>
  <c r="F25" i="11"/>
  <c r="F26" i="11"/>
  <c r="F169" i="11"/>
  <c r="F27" i="11"/>
  <c r="F112" i="11"/>
  <c r="O112" i="2"/>
  <c r="F122" i="11"/>
  <c r="O122" i="2"/>
  <c r="F167" i="11"/>
  <c r="O167" i="2" s="1"/>
  <c r="F28" i="11"/>
  <c r="O33" i="2"/>
  <c r="F162" i="11"/>
  <c r="O162" i="2"/>
  <c r="F132" i="11"/>
  <c r="O132" i="2"/>
  <c r="F29" i="11"/>
  <c r="O32" i="2"/>
  <c r="F113" i="11"/>
  <c r="O113" i="2"/>
  <c r="F146" i="11"/>
  <c r="F159" i="11"/>
  <c r="F164" i="11"/>
  <c r="F128" i="11"/>
  <c r="O128" i="2"/>
  <c r="F138" i="11"/>
  <c r="O138" i="2" s="1"/>
  <c r="F145" i="11"/>
  <c r="F141" i="11"/>
  <c r="O141" i="2" s="1"/>
  <c r="F30" i="11"/>
  <c r="O50" i="2"/>
  <c r="F129" i="11"/>
  <c r="O129" i="2" s="1"/>
  <c r="F31" i="11"/>
  <c r="O59" i="2"/>
  <c r="F170" i="11"/>
  <c r="O177" i="2"/>
  <c r="F94" i="11"/>
  <c r="O93" i="2"/>
  <c r="F95" i="11"/>
  <c r="O100" i="2"/>
  <c r="F32" i="11"/>
  <c r="O31" i="2"/>
  <c r="F33" i="11"/>
  <c r="F96" i="11"/>
  <c r="O95" i="2"/>
  <c r="F143" i="11"/>
  <c r="O143" i="2"/>
  <c r="F4" i="11"/>
  <c r="O13" i="2"/>
  <c r="F160" i="11"/>
  <c r="O160" i="2" s="1"/>
  <c r="F34" i="11"/>
  <c r="O29" i="2"/>
  <c r="F142" i="11"/>
  <c r="O142" i="2"/>
  <c r="F155" i="11"/>
  <c r="O155" i="2"/>
  <c r="F81" i="11"/>
  <c r="O81" i="2" s="1"/>
  <c r="F35" i="11"/>
  <c r="O60" i="2"/>
  <c r="F5" i="11"/>
  <c r="O14" i="2"/>
  <c r="F74" i="11"/>
  <c r="O74" i="2" s="1"/>
  <c r="F171" i="11"/>
  <c r="O178" i="2"/>
  <c r="F154" i="11"/>
  <c r="O154" i="2"/>
  <c r="F153" i="11"/>
  <c r="F163" i="11"/>
  <c r="O163" i="2"/>
  <c r="F6" i="11"/>
  <c r="O15" i="2"/>
  <c r="F127" i="11"/>
  <c r="O127" i="2" s="1"/>
  <c r="F144" i="11"/>
  <c r="O144" i="2" s="1"/>
  <c r="F36" i="11"/>
  <c r="F115" i="11"/>
  <c r="O115" i="2"/>
  <c r="F130" i="11"/>
  <c r="O130" i="2"/>
  <c r="F37" i="11"/>
  <c r="O51" i="2"/>
  <c r="F7" i="11"/>
  <c r="O16" i="2"/>
  <c r="F123" i="11"/>
  <c r="O123" i="2"/>
  <c r="F172" i="11"/>
  <c r="O174" i="2"/>
  <c r="F150" i="11"/>
  <c r="O150" i="2" s="1"/>
  <c r="F67" i="11"/>
  <c r="O67" i="2"/>
  <c r="F66" i="11"/>
  <c r="F173" i="11"/>
  <c r="F71" i="11"/>
  <c r="O71" i="2"/>
  <c r="F75" i="11"/>
  <c r="O75" i="2" s="1"/>
  <c r="F38" i="11"/>
  <c r="O45" i="2"/>
  <c r="F174" i="11"/>
  <c r="F8" i="11"/>
  <c r="O12" i="2"/>
  <c r="F79" i="11"/>
  <c r="O79" i="2"/>
  <c r="F92" i="11"/>
  <c r="O92" i="2" s="1"/>
  <c r="F121" i="11"/>
  <c r="O121" i="2" s="1"/>
  <c r="F175" i="11"/>
  <c r="O188" i="2"/>
  <c r="F97" i="11"/>
  <c r="O98" i="2"/>
  <c r="F176" i="11"/>
  <c r="O187" i="2"/>
  <c r="F70" i="11"/>
  <c r="O70" i="2"/>
  <c r="F77" i="11"/>
  <c r="F177" i="11"/>
  <c r="F178" i="11"/>
  <c r="O189" i="2"/>
  <c r="F148" i="11"/>
  <c r="O148" i="2" s="1"/>
  <c r="F157" i="11"/>
  <c r="O157" i="2"/>
  <c r="F134" i="11"/>
  <c r="F179" i="11"/>
  <c r="O185" i="2"/>
  <c r="F166" i="11"/>
  <c r="O166" i="2"/>
  <c r="F180" i="11"/>
  <c r="O182" i="2"/>
  <c r="F22" i="11"/>
  <c r="O22" i="2"/>
  <c r="F152" i="11"/>
  <c r="O152" i="2"/>
  <c r="F116" i="11"/>
  <c r="O116" i="2"/>
  <c r="F69" i="11"/>
  <c r="O69" i="2" s="1"/>
  <c r="F137" i="11"/>
  <c r="O137" i="2"/>
  <c r="F87" i="11"/>
  <c r="F98" i="11"/>
  <c r="F181" i="11"/>
  <c r="O176" i="2"/>
  <c r="F110" i="11"/>
  <c r="O110" i="2"/>
  <c r="F114" i="11"/>
  <c r="O114" i="2"/>
  <c r="F99" i="11"/>
  <c r="F149" i="11"/>
  <c r="O149" i="2" s="1"/>
  <c r="F100" i="11"/>
  <c r="O105" i="2"/>
  <c r="F182" i="11"/>
  <c r="O181" i="2"/>
  <c r="F183" i="11"/>
  <c r="O193" i="2"/>
  <c r="F184" i="11"/>
  <c r="O190" i="2"/>
  <c r="F185" i="11"/>
  <c r="O172" i="2"/>
  <c r="F39" i="11"/>
  <c r="O62" i="2"/>
  <c r="F139" i="11"/>
  <c r="O139" i="2"/>
  <c r="F101" i="11"/>
  <c r="F78" i="11"/>
  <c r="O78" i="2" s="1"/>
  <c r="F186" i="11"/>
  <c r="O186" i="2"/>
  <c r="F102" i="11"/>
  <c r="O101" i="2"/>
  <c r="F151" i="11"/>
  <c r="O151" i="2" s="1"/>
  <c r="F90" i="11"/>
  <c r="F91" i="11"/>
  <c r="O91" i="2" s="1"/>
  <c r="F124" i="11"/>
  <c r="O124" i="2" s="1"/>
  <c r="F156" i="11"/>
  <c r="O156" i="2"/>
  <c r="F19" i="11"/>
  <c r="O19" i="2" s="1"/>
  <c r="F158" i="11"/>
  <c r="O158" i="2" s="1"/>
  <c r="F9" i="11"/>
  <c r="O5" i="2"/>
  <c r="F103" i="11"/>
  <c r="O106" i="2"/>
  <c r="F104" i="11"/>
  <c r="O107" i="2"/>
  <c r="F133" i="11"/>
  <c r="F64" i="11"/>
  <c r="O64" i="2"/>
  <c r="F187" i="11"/>
  <c r="O173" i="2"/>
  <c r="F72" i="11"/>
  <c r="O72" i="2"/>
  <c r="F23" i="11"/>
  <c r="O23" i="2"/>
  <c r="F88" i="11"/>
  <c r="F188" i="11"/>
  <c r="O169" i="2"/>
  <c r="F85" i="11"/>
  <c r="O85" i="2" s="1"/>
  <c r="F189" i="11"/>
  <c r="O171" i="2"/>
  <c r="F65" i="11"/>
  <c r="O65" i="2"/>
  <c r="F190" i="11"/>
  <c r="O180" i="2"/>
  <c r="F126" i="11"/>
  <c r="O126" i="2" s="1"/>
  <c r="F131" i="11"/>
  <c r="O131" i="2"/>
  <c r="F191" i="11"/>
  <c r="O183" i="2"/>
  <c r="F82" i="11"/>
  <c r="O82" i="2" s="1"/>
  <c r="F105" i="11"/>
  <c r="O96" i="2"/>
  <c r="F73" i="11"/>
  <c r="O73" i="2"/>
  <c r="F10" i="11"/>
  <c r="O3" i="2"/>
  <c r="F11" i="11"/>
  <c r="O6" i="2"/>
  <c r="F106" i="11"/>
  <c r="F12" i="11"/>
  <c r="O8" i="2"/>
  <c r="F40" i="11"/>
  <c r="O38" i="2"/>
  <c r="F41" i="11"/>
  <c r="O27" i="2"/>
  <c r="F83" i="11"/>
  <c r="O83" i="2" s="1"/>
  <c r="F80" i="11"/>
  <c r="O80" i="2"/>
  <c r="F107" i="11"/>
  <c r="O102" i="2"/>
  <c r="F89" i="11"/>
  <c r="O89" i="2" s="1"/>
  <c r="F13" i="11"/>
  <c r="O4" i="2"/>
  <c r="F192" i="11"/>
  <c r="F76" i="11"/>
  <c r="O76" i="2"/>
  <c r="F42" i="11"/>
  <c r="O57" i="2"/>
  <c r="F43" i="11"/>
  <c r="O36" i="2"/>
  <c r="F86" i="11"/>
  <c r="O86" i="2" s="1"/>
  <c r="F44" i="11"/>
  <c r="F14" i="11"/>
  <c r="O2" i="2"/>
  <c r="F15" i="11"/>
  <c r="O17" i="2"/>
  <c r="F193" i="11"/>
  <c r="O179" i="2"/>
  <c r="F108" i="11"/>
  <c r="O94" i="2"/>
  <c r="F84" i="11"/>
  <c r="O84" i="2" s="1"/>
  <c r="F45" i="11"/>
  <c r="O30" i="2"/>
  <c r="F46" i="11"/>
  <c r="O35" i="2"/>
  <c r="F47" i="11"/>
  <c r="O24" i="2"/>
  <c r="F68" i="11"/>
  <c r="F63" i="11"/>
  <c r="O63" i="2" s="1"/>
  <c r="F48" i="11"/>
  <c r="O49" i="2"/>
  <c r="F49" i="11"/>
  <c r="O39" i="2"/>
  <c r="F50" i="11"/>
  <c r="O48" i="2"/>
  <c r="F51" i="11"/>
  <c r="F52" i="11"/>
  <c r="O53" i="2"/>
  <c r="F53" i="11"/>
  <c r="O42" i="2"/>
  <c r="F54" i="11"/>
  <c r="O54" i="2"/>
  <c r="F55" i="11"/>
  <c r="O43" i="2"/>
  <c r="F56" i="11"/>
  <c r="O52" i="2"/>
  <c r="F57" i="11"/>
  <c r="O44" i="2"/>
  <c r="F58" i="11"/>
  <c r="O55" i="2"/>
  <c r="F59" i="11"/>
  <c r="O41" i="2"/>
  <c r="F16" i="11"/>
  <c r="F60" i="11"/>
  <c r="F61" i="11"/>
  <c r="O25" i="2"/>
  <c r="F62" i="11"/>
  <c r="O26" i="2"/>
  <c r="F161" i="11"/>
  <c r="O161" i="2" s="1"/>
  <c r="F17" i="11"/>
  <c r="F117" i="10"/>
  <c r="N117" i="2" s="1"/>
  <c r="F111" i="10"/>
  <c r="N111" i="2" s="1"/>
  <c r="F125" i="10"/>
  <c r="N125" i="2"/>
  <c r="F165" i="10"/>
  <c r="N165" i="2" s="1"/>
  <c r="F119" i="10"/>
  <c r="N119" i="2"/>
  <c r="F135" i="10"/>
  <c r="N135" i="2"/>
  <c r="F109" i="10"/>
  <c r="N109" i="2"/>
  <c r="F18" i="10"/>
  <c r="N18" i="2"/>
  <c r="F21" i="10"/>
  <c r="N21" i="2"/>
  <c r="F20" i="10"/>
  <c r="N20" i="2" s="1"/>
  <c r="F97" i="10"/>
  <c r="N97" i="2"/>
  <c r="F10" i="10"/>
  <c r="N11" i="2"/>
  <c r="F28" i="10"/>
  <c r="N28" i="2"/>
  <c r="F136" i="10"/>
  <c r="N136" i="2"/>
  <c r="F9" i="10"/>
  <c r="N10" i="2" s="1"/>
  <c r="F147" i="10"/>
  <c r="N147" i="2" s="1"/>
  <c r="F118" i="10"/>
  <c r="N118" i="2"/>
  <c r="F120" i="10"/>
  <c r="N120" i="2" s="1"/>
  <c r="F140" i="10"/>
  <c r="N140" i="2"/>
  <c r="F192" i="10"/>
  <c r="N192" i="2" s="1"/>
  <c r="F46" i="10"/>
  <c r="N46" i="2" s="1"/>
  <c r="F47" i="10"/>
  <c r="N47" i="2" s="1"/>
  <c r="F170" i="10"/>
  <c r="F58" i="10"/>
  <c r="F112" i="10"/>
  <c r="N112" i="2"/>
  <c r="F122" i="10"/>
  <c r="N122" i="2"/>
  <c r="F167" i="10"/>
  <c r="N167" i="2"/>
  <c r="F33" i="10"/>
  <c r="N33" i="2" s="1"/>
  <c r="F162" i="10"/>
  <c r="F132" i="10"/>
  <c r="F32" i="10"/>
  <c r="N32" i="2" s="1"/>
  <c r="F113" i="10"/>
  <c r="F146" i="10"/>
  <c r="N146" i="2"/>
  <c r="F159" i="10"/>
  <c r="N159" i="2" s="1"/>
  <c r="F164" i="10"/>
  <c r="N164" i="2" s="1"/>
  <c r="F128" i="10"/>
  <c r="N128" i="2"/>
  <c r="F138" i="10"/>
  <c r="N138" i="2"/>
  <c r="F145" i="10"/>
  <c r="N145" i="2" s="1"/>
  <c r="F141" i="10"/>
  <c r="N141" i="2" s="1"/>
  <c r="F50" i="10"/>
  <c r="N50" i="2"/>
  <c r="F129" i="10"/>
  <c r="N129" i="2"/>
  <c r="F59" i="10"/>
  <c r="N59" i="2" s="1"/>
  <c r="F177" i="10"/>
  <c r="N177" i="2" s="1"/>
  <c r="F93" i="10"/>
  <c r="N93" i="2" s="1"/>
  <c r="F100" i="10"/>
  <c r="N100" i="2"/>
  <c r="F31" i="10"/>
  <c r="N31" i="2" s="1"/>
  <c r="F34" i="10"/>
  <c r="N34" i="2" s="1"/>
  <c r="F95" i="10"/>
  <c r="N95" i="2"/>
  <c r="F143" i="10"/>
  <c r="N143" i="2"/>
  <c r="F13" i="10"/>
  <c r="N13" i="2" s="1"/>
  <c r="F160" i="10"/>
  <c r="N160" i="2" s="1"/>
  <c r="F29" i="10"/>
  <c r="N29" i="2"/>
  <c r="F142" i="10"/>
  <c r="N142" i="2"/>
  <c r="F155" i="10"/>
  <c r="N155" i="2"/>
  <c r="F81" i="10"/>
  <c r="N81" i="2" s="1"/>
  <c r="F60" i="10"/>
  <c r="N60" i="2" s="1"/>
  <c r="F14" i="10"/>
  <c r="N14" i="2" s="1"/>
  <c r="F74" i="10"/>
  <c r="F178" i="10"/>
  <c r="N178" i="2"/>
  <c r="F154" i="10"/>
  <c r="N154" i="2" s="1"/>
  <c r="F153" i="10"/>
  <c r="N153" i="2"/>
  <c r="F163" i="10"/>
  <c r="N163" i="2" s="1"/>
  <c r="F15" i="10"/>
  <c r="N15" i="2"/>
  <c r="F127" i="10"/>
  <c r="N127" i="2" s="1"/>
  <c r="F144" i="10"/>
  <c r="N144" i="2" s="1"/>
  <c r="F61" i="10"/>
  <c r="N61" i="2" s="1"/>
  <c r="F115" i="10"/>
  <c r="N115" i="2" s="1"/>
  <c r="F130" i="10"/>
  <c r="N130" i="2" s="1"/>
  <c r="F51" i="10"/>
  <c r="N51" i="2" s="1"/>
  <c r="F16" i="10"/>
  <c r="N16" i="2" s="1"/>
  <c r="F123" i="10"/>
  <c r="N123" i="2" s="1"/>
  <c r="F174" i="10"/>
  <c r="N174" i="2" s="1"/>
  <c r="F150" i="10"/>
  <c r="N150" i="2" s="1"/>
  <c r="F67" i="10"/>
  <c r="N67" i="2" s="1"/>
  <c r="F66" i="10"/>
  <c r="N66" i="2" s="1"/>
  <c r="F175" i="10"/>
  <c r="N175" i="2"/>
  <c r="F71" i="10"/>
  <c r="N71" i="2"/>
  <c r="F75" i="10"/>
  <c r="N75" i="2" s="1"/>
  <c r="F45" i="10"/>
  <c r="N45" i="2" s="1"/>
  <c r="F191" i="10"/>
  <c r="N191" i="2" s="1"/>
  <c r="F12" i="10"/>
  <c r="N12" i="2" s="1"/>
  <c r="F79" i="10"/>
  <c r="N79" i="2"/>
  <c r="F92" i="10"/>
  <c r="N92" i="2" s="1"/>
  <c r="F121" i="10"/>
  <c r="N121" i="2"/>
  <c r="F188" i="10"/>
  <c r="N188" i="2" s="1"/>
  <c r="F98" i="10"/>
  <c r="N98" i="2" s="1"/>
  <c r="F187" i="10"/>
  <c r="N187" i="2"/>
  <c r="F70" i="10"/>
  <c r="N70" i="2" s="1"/>
  <c r="F77" i="10"/>
  <c r="N77" i="2" s="1"/>
  <c r="F184" i="10"/>
  <c r="N184" i="2" s="1"/>
  <c r="F189" i="10"/>
  <c r="N189" i="2"/>
  <c r="F148" i="10"/>
  <c r="N148" i="2" s="1"/>
  <c r="F157" i="10"/>
  <c r="N157" i="2"/>
  <c r="F134" i="10"/>
  <c r="N134" i="2"/>
  <c r="F185" i="10"/>
  <c r="N185" i="2"/>
  <c r="F166" i="10"/>
  <c r="N166" i="2" s="1"/>
  <c r="F182" i="10"/>
  <c r="N182" i="2" s="1"/>
  <c r="F22" i="10"/>
  <c r="N22" i="2" s="1"/>
  <c r="F152" i="10"/>
  <c r="N152" i="2" s="1"/>
  <c r="F116" i="10"/>
  <c r="F69" i="10"/>
  <c r="N69" i="2"/>
  <c r="F137" i="10"/>
  <c r="F87" i="10"/>
  <c r="N87" i="2" s="1"/>
  <c r="F99" i="10"/>
  <c r="N99" i="2"/>
  <c r="F176" i="10"/>
  <c r="N176" i="2"/>
  <c r="F110" i="10"/>
  <c r="N110" i="2"/>
  <c r="F114" i="10"/>
  <c r="N114" i="2" s="1"/>
  <c r="F108" i="10"/>
  <c r="N108" i="2" s="1"/>
  <c r="F149" i="10"/>
  <c r="N149" i="2" s="1"/>
  <c r="F105" i="10"/>
  <c r="N105" i="2" s="1"/>
  <c r="F181" i="10"/>
  <c r="N181" i="2"/>
  <c r="F193" i="10"/>
  <c r="N193" i="2"/>
  <c r="F190" i="10"/>
  <c r="N190" i="2" s="1"/>
  <c r="F172" i="10"/>
  <c r="N172" i="2" s="1"/>
  <c r="F62" i="10"/>
  <c r="N62" i="2"/>
  <c r="F139" i="10"/>
  <c r="N139" i="2" s="1"/>
  <c r="F104" i="10"/>
  <c r="N104" i="2" s="1"/>
  <c r="F78" i="10"/>
  <c r="N78" i="2" s="1"/>
  <c r="F186" i="10"/>
  <c r="N186" i="2"/>
  <c r="F101" i="10"/>
  <c r="N101" i="2"/>
  <c r="F151" i="10"/>
  <c r="N151" i="2"/>
  <c r="F90" i="10"/>
  <c r="N90" i="2"/>
  <c r="F91" i="10"/>
  <c r="N91" i="2"/>
  <c r="F124" i="10"/>
  <c r="N124" i="2" s="1"/>
  <c r="F156" i="10"/>
  <c r="N156" i="2" s="1"/>
  <c r="F19" i="10"/>
  <c r="N19" i="2" s="1"/>
  <c r="F158" i="10"/>
  <c r="F5" i="10"/>
  <c r="F106" i="10"/>
  <c r="N106" i="2"/>
  <c r="F107" i="10"/>
  <c r="F133" i="10"/>
  <c r="N133" i="2" s="1"/>
  <c r="F64" i="10"/>
  <c r="N64" i="2"/>
  <c r="F173" i="10"/>
  <c r="N173" i="2" s="1"/>
  <c r="F72" i="10"/>
  <c r="F23" i="10"/>
  <c r="N23" i="2" s="1"/>
  <c r="F88" i="10"/>
  <c r="N88" i="2" s="1"/>
  <c r="F169" i="10"/>
  <c r="N169" i="2" s="1"/>
  <c r="F85" i="10"/>
  <c r="N85" i="2"/>
  <c r="F171" i="10"/>
  <c r="N171" i="2"/>
  <c r="F65" i="10"/>
  <c r="N65" i="2"/>
  <c r="F180" i="10"/>
  <c r="N180" i="2" s="1"/>
  <c r="F126" i="10"/>
  <c r="N126" i="2" s="1"/>
  <c r="F131" i="10"/>
  <c r="N131" i="2" s="1"/>
  <c r="F183" i="10"/>
  <c r="N183" i="2" s="1"/>
  <c r="F82" i="10"/>
  <c r="N82" i="2" s="1"/>
  <c r="F96" i="10"/>
  <c r="N96" i="2"/>
  <c r="F73" i="10"/>
  <c r="N73" i="2" s="1"/>
  <c r="F3" i="10"/>
  <c r="N3" i="2" s="1"/>
  <c r="F6" i="10"/>
  <c r="N6" i="2"/>
  <c r="F103" i="10"/>
  <c r="N103" i="2" s="1"/>
  <c r="F8" i="10"/>
  <c r="N8" i="2" s="1"/>
  <c r="F38" i="10"/>
  <c r="N38" i="2" s="1"/>
  <c r="F27" i="10"/>
  <c r="N27" i="2"/>
  <c r="F83" i="10"/>
  <c r="N83" i="2"/>
  <c r="F80" i="10"/>
  <c r="N80" i="2" s="1"/>
  <c r="F102" i="10"/>
  <c r="N102" i="2" s="1"/>
  <c r="F89" i="10"/>
  <c r="N89" i="2"/>
  <c r="F4" i="10"/>
  <c r="N4" i="2" s="1"/>
  <c r="F168" i="10"/>
  <c r="F76" i="10"/>
  <c r="N76" i="2"/>
  <c r="F57" i="10"/>
  <c r="N57" i="2" s="1"/>
  <c r="F36" i="10"/>
  <c r="N36" i="2" s="1"/>
  <c r="F86" i="10"/>
  <c r="N86" i="2"/>
  <c r="F37" i="10"/>
  <c r="N37" i="2" s="1"/>
  <c r="F2" i="10"/>
  <c r="N2" i="2"/>
  <c r="F17" i="10"/>
  <c r="N17" i="2" s="1"/>
  <c r="F179" i="10"/>
  <c r="N179" i="2" s="1"/>
  <c r="F94" i="10"/>
  <c r="N94" i="2" s="1"/>
  <c r="F84" i="10"/>
  <c r="F30" i="10"/>
  <c r="F35" i="10"/>
  <c r="N35" i="2" s="1"/>
  <c r="F24" i="10"/>
  <c r="N24" i="2" s="1"/>
  <c r="F68" i="10"/>
  <c r="N68" i="2" s="1"/>
  <c r="F63" i="10"/>
  <c r="N63" i="2"/>
  <c r="F49" i="10"/>
  <c r="N49" i="2" s="1"/>
  <c r="F39" i="10"/>
  <c r="N39" i="2" s="1"/>
  <c r="F48" i="10"/>
  <c r="N48" i="2" s="1"/>
  <c r="F40" i="10"/>
  <c r="N40" i="2" s="1"/>
  <c r="F53" i="10"/>
  <c r="N53" i="2" s="1"/>
  <c r="F42" i="10"/>
  <c r="N42" i="2" s="1"/>
  <c r="F54" i="10"/>
  <c r="N54" i="2" s="1"/>
  <c r="F43" i="10"/>
  <c r="N43" i="2"/>
  <c r="F52" i="10"/>
  <c r="N52" i="2" s="1"/>
  <c r="F44" i="10"/>
  <c r="N44" i="2" s="1"/>
  <c r="F55" i="10"/>
  <c r="N55" i="2" s="1"/>
  <c r="F41" i="10"/>
  <c r="N41" i="2" s="1"/>
  <c r="F7" i="10"/>
  <c r="N7" i="2" s="1"/>
  <c r="F56" i="10"/>
  <c r="N56" i="2" s="1"/>
  <c r="F25" i="10"/>
  <c r="N25" i="2" s="1"/>
  <c r="F26" i="10"/>
  <c r="F161" i="10"/>
  <c r="F11" i="10"/>
  <c r="F117" i="9"/>
  <c r="M117" i="2" s="1"/>
  <c r="F111" i="9"/>
  <c r="M111" i="2" s="1"/>
  <c r="F125" i="9"/>
  <c r="F165" i="9"/>
  <c r="M165" i="2" s="1"/>
  <c r="F119" i="9"/>
  <c r="M119" i="2" s="1"/>
  <c r="F135" i="9"/>
  <c r="M135" i="2"/>
  <c r="F109" i="9"/>
  <c r="M109" i="2"/>
  <c r="F18" i="9"/>
  <c r="F21" i="9"/>
  <c r="M21" i="2"/>
  <c r="F20" i="9"/>
  <c r="M20" i="2" s="1"/>
  <c r="F97" i="9"/>
  <c r="M97" i="2" s="1"/>
  <c r="F10" i="9"/>
  <c r="M11" i="2" s="1"/>
  <c r="F28" i="9"/>
  <c r="M28" i="2"/>
  <c r="F136" i="9"/>
  <c r="M136" i="2" s="1"/>
  <c r="F9" i="9"/>
  <c r="F147" i="9"/>
  <c r="F118" i="9"/>
  <c r="F120" i="9"/>
  <c r="M120" i="2" s="1"/>
  <c r="F140" i="9"/>
  <c r="F192" i="9"/>
  <c r="M192" i="2"/>
  <c r="F46" i="9"/>
  <c r="M46" i="2" s="1"/>
  <c r="F47" i="9"/>
  <c r="M47" i="2"/>
  <c r="F170" i="9"/>
  <c r="M170" i="2" s="1"/>
  <c r="F58" i="9"/>
  <c r="M58" i="2" s="1"/>
  <c r="F112" i="9"/>
  <c r="M112" i="2" s="1"/>
  <c r="F122" i="9"/>
  <c r="M122" i="2" s="1"/>
  <c r="F167" i="9"/>
  <c r="M167" i="2" s="1"/>
  <c r="F33" i="9"/>
  <c r="M33" i="2" s="1"/>
  <c r="F162" i="9"/>
  <c r="M162" i="2" s="1"/>
  <c r="F132" i="9"/>
  <c r="M132" i="2" s="1"/>
  <c r="F32" i="9"/>
  <c r="F113" i="9"/>
  <c r="F146" i="9"/>
  <c r="F159" i="9"/>
  <c r="M159" i="2" s="1"/>
  <c r="F164" i="9"/>
  <c r="M164" i="2"/>
  <c r="F128" i="9"/>
  <c r="M128" i="2" s="1"/>
  <c r="F138" i="9"/>
  <c r="M138" i="2" s="1"/>
  <c r="F145" i="9"/>
  <c r="F141" i="9"/>
  <c r="M141" i="2"/>
  <c r="F50" i="9"/>
  <c r="M50" i="2" s="1"/>
  <c r="F129" i="9"/>
  <c r="M129" i="2" s="1"/>
  <c r="F59" i="9"/>
  <c r="M59" i="2" s="1"/>
  <c r="F177" i="9"/>
  <c r="M177" i="2" s="1"/>
  <c r="F93" i="9"/>
  <c r="M93" i="2" s="1"/>
  <c r="F100" i="9"/>
  <c r="F31" i="9"/>
  <c r="F34" i="9"/>
  <c r="M34" i="2" s="1"/>
  <c r="F95" i="9"/>
  <c r="M95" i="2" s="1"/>
  <c r="F143" i="9"/>
  <c r="M143" i="2" s="1"/>
  <c r="F13" i="9"/>
  <c r="M13" i="2" s="1"/>
  <c r="F160" i="9"/>
  <c r="M160" i="2"/>
  <c r="F29" i="9"/>
  <c r="F142" i="9"/>
  <c r="M142" i="2" s="1"/>
  <c r="F155" i="9"/>
  <c r="M155" i="2" s="1"/>
  <c r="F81" i="9"/>
  <c r="M81" i="2"/>
  <c r="F60" i="9"/>
  <c r="M60" i="2" s="1"/>
  <c r="F14" i="9"/>
  <c r="F74" i="9"/>
  <c r="M74" i="2" s="1"/>
  <c r="F178" i="9"/>
  <c r="M178" i="2" s="1"/>
  <c r="F154" i="9"/>
  <c r="F153" i="9"/>
  <c r="F163" i="9"/>
  <c r="M163" i="2" s="1"/>
  <c r="F15" i="9"/>
  <c r="M15" i="2" s="1"/>
  <c r="F127" i="9"/>
  <c r="M127" i="2"/>
  <c r="F144" i="9"/>
  <c r="M144" i="2" s="1"/>
  <c r="F61" i="9"/>
  <c r="M61" i="2" s="1"/>
  <c r="F115" i="9"/>
  <c r="M115" i="2" s="1"/>
  <c r="F130" i="9"/>
  <c r="M130" i="2" s="1"/>
  <c r="F51" i="9"/>
  <c r="M51" i="2" s="1"/>
  <c r="F16" i="9"/>
  <c r="M16" i="2" s="1"/>
  <c r="F123" i="9"/>
  <c r="F174" i="9"/>
  <c r="F150" i="9"/>
  <c r="M150" i="2" s="1"/>
  <c r="F67" i="9"/>
  <c r="M67" i="2" s="1"/>
  <c r="F66" i="9"/>
  <c r="F175" i="9"/>
  <c r="M175" i="2" s="1"/>
  <c r="F71" i="9"/>
  <c r="M71" i="2" s="1"/>
  <c r="F75" i="9"/>
  <c r="M75" i="2" s="1"/>
  <c r="F45" i="9"/>
  <c r="M45" i="2" s="1"/>
  <c r="F191" i="9"/>
  <c r="M191" i="2"/>
  <c r="F12" i="9"/>
  <c r="M12" i="2" s="1"/>
  <c r="F79" i="9"/>
  <c r="M79" i="2"/>
  <c r="F92" i="9"/>
  <c r="M92" i="2" s="1"/>
  <c r="F121" i="9"/>
  <c r="M121" i="2"/>
  <c r="F188" i="9"/>
  <c r="F98" i="9"/>
  <c r="F187" i="9"/>
  <c r="M187" i="2" s="1"/>
  <c r="F70" i="9"/>
  <c r="M70" i="2" s="1"/>
  <c r="F77" i="9"/>
  <c r="F184" i="9"/>
  <c r="M184" i="2" s="1"/>
  <c r="F189" i="9"/>
  <c r="M189" i="2"/>
  <c r="F148" i="9"/>
  <c r="M148" i="2" s="1"/>
  <c r="F157" i="9"/>
  <c r="M157" i="2" s="1"/>
  <c r="F134" i="9"/>
  <c r="M134" i="2" s="1"/>
  <c r="F185" i="9"/>
  <c r="M185" i="2"/>
  <c r="F166" i="9"/>
  <c r="M166" i="2" s="1"/>
  <c r="F182" i="9"/>
  <c r="M182" i="2"/>
  <c r="F22" i="9"/>
  <c r="M22" i="2"/>
  <c r="F152" i="9"/>
  <c r="M152" i="2" s="1"/>
  <c r="F116" i="9"/>
  <c r="M116" i="2" s="1"/>
  <c r="F69" i="9"/>
  <c r="M69" i="2" s="1"/>
  <c r="F137" i="9"/>
  <c r="F87" i="9"/>
  <c r="F99" i="9"/>
  <c r="M99" i="2" s="1"/>
  <c r="F176" i="9"/>
  <c r="M176" i="2" s="1"/>
  <c r="F110" i="9"/>
  <c r="M110" i="2" s="1"/>
  <c r="F114" i="9"/>
  <c r="M114" i="2"/>
  <c r="F108" i="9"/>
  <c r="M108" i="2" s="1"/>
  <c r="F149" i="9"/>
  <c r="M149" i="2"/>
  <c r="F105" i="9"/>
  <c r="M105" i="2"/>
  <c r="F181" i="9"/>
  <c r="M181" i="2" s="1"/>
  <c r="F193" i="9"/>
  <c r="M193" i="2"/>
  <c r="F190" i="9"/>
  <c r="M190" i="2" s="1"/>
  <c r="F172" i="9"/>
  <c r="F62" i="9"/>
  <c r="F139" i="9"/>
  <c r="F104" i="9"/>
  <c r="F78" i="9"/>
  <c r="M78" i="2"/>
  <c r="F186" i="9"/>
  <c r="M186" i="2"/>
  <c r="F101" i="9"/>
  <c r="M101" i="2"/>
  <c r="F151" i="9"/>
  <c r="M151" i="2" s="1"/>
  <c r="F90" i="9"/>
  <c r="F91" i="9"/>
  <c r="M91" i="2"/>
  <c r="F124" i="9"/>
  <c r="M124" i="2"/>
  <c r="F156" i="9"/>
  <c r="M156" i="2" s="1"/>
  <c r="F19" i="9"/>
  <c r="M19" i="2"/>
  <c r="F158" i="9"/>
  <c r="M158" i="2" s="1"/>
  <c r="F5" i="9"/>
  <c r="M5" i="2" s="1"/>
  <c r="F106" i="9"/>
  <c r="M106" i="2" s="1"/>
  <c r="F107" i="9"/>
  <c r="M107" i="2" s="1"/>
  <c r="F133" i="9"/>
  <c r="F64" i="9"/>
  <c r="M64" i="2"/>
  <c r="F173" i="9"/>
  <c r="M173" i="2" s="1"/>
  <c r="F72" i="9"/>
  <c r="M72" i="2"/>
  <c r="F23" i="9"/>
  <c r="M23" i="2" s="1"/>
  <c r="F88" i="9"/>
  <c r="F169" i="9"/>
  <c r="M169" i="2"/>
  <c r="F85" i="9"/>
  <c r="M85" i="2"/>
  <c r="F171" i="9"/>
  <c r="M171" i="2"/>
  <c r="F65" i="9"/>
  <c r="M65" i="2" s="1"/>
  <c r="F180" i="9"/>
  <c r="F126" i="9"/>
  <c r="M126" i="2" s="1"/>
  <c r="F131" i="9"/>
  <c r="M131" i="2" s="1"/>
  <c r="F183" i="9"/>
  <c r="F82" i="9"/>
  <c r="F96" i="9"/>
  <c r="M96" i="2"/>
  <c r="F73" i="9"/>
  <c r="M73" i="2" s="1"/>
  <c r="F3" i="9"/>
  <c r="M3" i="2" s="1"/>
  <c r="F6" i="9"/>
  <c r="M6" i="2"/>
  <c r="F103" i="9"/>
  <c r="M103" i="2"/>
  <c r="F8" i="9"/>
  <c r="M8" i="2"/>
  <c r="F38" i="9"/>
  <c r="M38" i="2" s="1"/>
  <c r="F27" i="9"/>
  <c r="M27" i="2"/>
  <c r="F83" i="9"/>
  <c r="M83" i="2"/>
  <c r="F80" i="9"/>
  <c r="M80" i="2" s="1"/>
  <c r="F102" i="9"/>
  <c r="M102" i="2" s="1"/>
  <c r="F89" i="9"/>
  <c r="F4" i="9"/>
  <c r="M4" i="2" s="1"/>
  <c r="F168" i="9"/>
  <c r="M168" i="2" s="1"/>
  <c r="F76" i="9"/>
  <c r="M76" i="2"/>
  <c r="F57" i="9"/>
  <c r="M57" i="2"/>
  <c r="F36" i="9"/>
  <c r="M36" i="2" s="1"/>
  <c r="F86" i="9"/>
  <c r="M86" i="2"/>
  <c r="F37" i="9"/>
  <c r="M37" i="2" s="1"/>
  <c r="F2" i="9"/>
  <c r="M2" i="2"/>
  <c r="F17" i="9"/>
  <c r="M17" i="2"/>
  <c r="F179" i="9"/>
  <c r="M179" i="2"/>
  <c r="F94" i="9"/>
  <c r="M94" i="2"/>
  <c r="F84" i="9"/>
  <c r="M84" i="2" s="1"/>
  <c r="F30" i="9"/>
  <c r="M30" i="2" s="1"/>
  <c r="F35" i="9"/>
  <c r="F24" i="9"/>
  <c r="F68" i="9"/>
  <c r="F63" i="9"/>
  <c r="M63" i="2"/>
  <c r="F49" i="9"/>
  <c r="M49" i="2" s="1"/>
  <c r="F39" i="9"/>
  <c r="M39" i="2"/>
  <c r="F48" i="9"/>
  <c r="M48" i="2"/>
  <c r="F40" i="9"/>
  <c r="M40" i="2"/>
  <c r="F53" i="9"/>
  <c r="M53" i="2" s="1"/>
  <c r="F42" i="9"/>
  <c r="M42" i="2" s="1"/>
  <c r="F54" i="9"/>
  <c r="M54" i="2"/>
  <c r="F43" i="9"/>
  <c r="M43" i="2" s="1"/>
  <c r="F52" i="9"/>
  <c r="M52" i="2" s="1"/>
  <c r="F44" i="9"/>
  <c r="M44" i="2" s="1"/>
  <c r="F55" i="9"/>
  <c r="F41" i="9"/>
  <c r="F7" i="9"/>
  <c r="M7" i="2" s="1"/>
  <c r="F56" i="9"/>
  <c r="M56" i="2" s="1"/>
  <c r="F25" i="9"/>
  <c r="M25" i="2"/>
  <c r="F26" i="9"/>
  <c r="M26" i="2"/>
  <c r="F161" i="9"/>
  <c r="M161" i="2" s="1"/>
  <c r="F11" i="9"/>
  <c r="M9" i="2" s="1"/>
  <c r="F117" i="8"/>
  <c r="F111" i="8"/>
  <c r="F125" i="8"/>
  <c r="F165" i="8"/>
  <c r="L165" i="2" s="1"/>
  <c r="F119" i="8"/>
  <c r="L119" i="2" s="1"/>
  <c r="F135" i="8"/>
  <c r="F109" i="8"/>
  <c r="L109" i="2" s="1"/>
  <c r="F18" i="8"/>
  <c r="L18" i="2"/>
  <c r="F21" i="8"/>
  <c r="L21" i="2"/>
  <c r="F20" i="8"/>
  <c r="F97" i="8"/>
  <c r="L97" i="2" s="1"/>
  <c r="F10" i="8"/>
  <c r="F28" i="8"/>
  <c r="L28" i="2" s="1"/>
  <c r="F136" i="8"/>
  <c r="L136" i="2"/>
  <c r="F9" i="8"/>
  <c r="F147" i="8"/>
  <c r="F118" i="8"/>
  <c r="F120" i="8"/>
  <c r="F140" i="8"/>
  <c r="L140" i="2" s="1"/>
  <c r="F192" i="8"/>
  <c r="L192" i="2"/>
  <c r="F46" i="8"/>
  <c r="L46" i="2" s="1"/>
  <c r="F47" i="8"/>
  <c r="L47" i="2" s="1"/>
  <c r="F170" i="8"/>
  <c r="L170" i="2"/>
  <c r="F58" i="8"/>
  <c r="L58" i="2" s="1"/>
  <c r="F112" i="8"/>
  <c r="L112" i="2"/>
  <c r="F122" i="8"/>
  <c r="L122" i="2"/>
  <c r="F167" i="8"/>
  <c r="L167" i="2"/>
  <c r="F33" i="8"/>
  <c r="L33" i="2"/>
  <c r="F162" i="8"/>
  <c r="F132" i="8"/>
  <c r="L132" i="2" s="1"/>
  <c r="F32" i="8"/>
  <c r="F113" i="8"/>
  <c r="L113" i="2" s="1"/>
  <c r="F146" i="8"/>
  <c r="L146" i="2" s="1"/>
  <c r="F159" i="8"/>
  <c r="L159" i="2"/>
  <c r="F164" i="8"/>
  <c r="L164" i="2"/>
  <c r="F128" i="8"/>
  <c r="L128" i="2"/>
  <c r="F138" i="8"/>
  <c r="L138" i="2"/>
  <c r="F145" i="8"/>
  <c r="F141" i="8"/>
  <c r="L141" i="2" s="1"/>
  <c r="F50" i="8"/>
  <c r="L50" i="2"/>
  <c r="F129" i="8"/>
  <c r="L129" i="2" s="1"/>
  <c r="F59" i="8"/>
  <c r="L59" i="2" s="1"/>
  <c r="F177" i="8"/>
  <c r="L177" i="2" s="1"/>
  <c r="F93" i="8"/>
  <c r="L93" i="2"/>
  <c r="F100" i="8"/>
  <c r="F31" i="8"/>
  <c r="L31" i="2" s="1"/>
  <c r="F34" i="8"/>
  <c r="F95" i="8"/>
  <c r="F143" i="8"/>
  <c r="L143" i="2" s="1"/>
  <c r="F13" i="8"/>
  <c r="L13" i="2"/>
  <c r="F160" i="8"/>
  <c r="L160" i="2"/>
  <c r="F29" i="8"/>
  <c r="L29" i="2"/>
  <c r="F142" i="8"/>
  <c r="L142" i="2"/>
  <c r="F155" i="8"/>
  <c r="L155" i="2"/>
  <c r="F81" i="8"/>
  <c r="L81" i="2"/>
  <c r="F60" i="8"/>
  <c r="L60" i="2" s="1"/>
  <c r="F14" i="8"/>
  <c r="L14" i="2" s="1"/>
  <c r="F74" i="8"/>
  <c r="L74" i="2" s="1"/>
  <c r="F178" i="8"/>
  <c r="F154" i="8"/>
  <c r="F153" i="8"/>
  <c r="L153" i="2" s="1"/>
  <c r="F163" i="8"/>
  <c r="L163" i="2" s="1"/>
  <c r="F15" i="8"/>
  <c r="L15" i="2" s="1"/>
  <c r="F127" i="8"/>
  <c r="L127" i="2" s="1"/>
  <c r="F144" i="8"/>
  <c r="L144" i="2"/>
  <c r="F61" i="8"/>
  <c r="L61" i="2" s="1"/>
  <c r="F115" i="8"/>
  <c r="L115" i="2"/>
  <c r="F130" i="8"/>
  <c r="L130" i="2"/>
  <c r="F51" i="8"/>
  <c r="L51" i="2"/>
  <c r="F16" i="8"/>
  <c r="L16" i="2"/>
  <c r="F123" i="8"/>
  <c r="F174" i="8"/>
  <c r="L174" i="2" s="1"/>
  <c r="F150" i="8"/>
  <c r="F67" i="8"/>
  <c r="L67" i="2" s="1"/>
  <c r="F66" i="8"/>
  <c r="L66" i="2" s="1"/>
  <c r="F175" i="8"/>
  <c r="L175" i="2"/>
  <c r="F71" i="8"/>
  <c r="F75" i="8"/>
  <c r="L75" i="2" s="1"/>
  <c r="F45" i="8"/>
  <c r="L45" i="2" s="1"/>
  <c r="F191" i="8"/>
  <c r="L191" i="2" s="1"/>
  <c r="F12" i="8"/>
  <c r="F79" i="8"/>
  <c r="L79" i="2" s="1"/>
  <c r="F92" i="8"/>
  <c r="L92" i="2" s="1"/>
  <c r="F121" i="8"/>
  <c r="L121" i="2"/>
  <c r="F188" i="8"/>
  <c r="F98" i="8"/>
  <c r="L98" i="2" s="1"/>
  <c r="F187" i="8"/>
  <c r="F70" i="8"/>
  <c r="F77" i="8"/>
  <c r="F184" i="8"/>
  <c r="L184" i="2"/>
  <c r="F189" i="8"/>
  <c r="L189" i="2"/>
  <c r="F148" i="8"/>
  <c r="L148" i="2" s="1"/>
  <c r="F157" i="8"/>
  <c r="L157" i="2"/>
  <c r="F134" i="8"/>
  <c r="F185" i="8"/>
  <c r="L185" i="2" s="1"/>
  <c r="F166" i="8"/>
  <c r="L166" i="2" s="1"/>
  <c r="F182" i="8"/>
  <c r="L182" i="2"/>
  <c r="F22" i="8"/>
  <c r="L22" i="2" s="1"/>
  <c r="F152" i="8"/>
  <c r="F116" i="8"/>
  <c r="L116" i="2" s="1"/>
  <c r="F69" i="8"/>
  <c r="L69" i="2" s="1"/>
  <c r="F137" i="8"/>
  <c r="L137" i="2" s="1"/>
  <c r="F87" i="8"/>
  <c r="F99" i="8"/>
  <c r="L99" i="2" s="1"/>
  <c r="F176" i="8"/>
  <c r="L176" i="2" s="1"/>
  <c r="F110" i="8"/>
  <c r="L110" i="2"/>
  <c r="F114" i="8"/>
  <c r="L114" i="2" s="1"/>
  <c r="F108" i="8"/>
  <c r="F149" i="8"/>
  <c r="L149" i="2" s="1"/>
  <c r="F105" i="8"/>
  <c r="L105" i="2"/>
  <c r="F181" i="8"/>
  <c r="L181" i="2"/>
  <c r="F193" i="8"/>
  <c r="L193" i="2"/>
  <c r="F190" i="8"/>
  <c r="F172" i="8"/>
  <c r="L172" i="2"/>
  <c r="F62" i="8"/>
  <c r="L62" i="2" s="1"/>
  <c r="F139" i="8"/>
  <c r="F104" i="8"/>
  <c r="L104" i="2" s="1"/>
  <c r="F78" i="8"/>
  <c r="L78" i="2"/>
  <c r="F186" i="8"/>
  <c r="L186" i="2" s="1"/>
  <c r="F101" i="8"/>
  <c r="L101" i="2" s="1"/>
  <c r="F151" i="8"/>
  <c r="L151" i="2" s="1"/>
  <c r="F90" i="8"/>
  <c r="F91" i="8"/>
  <c r="L91" i="2"/>
  <c r="F124" i="8"/>
  <c r="L124" i="2"/>
  <c r="F156" i="8"/>
  <c r="L156" i="2"/>
  <c r="F19" i="8"/>
  <c r="L19" i="2"/>
  <c r="F158" i="8"/>
  <c r="F5" i="8"/>
  <c r="L5" i="2" s="1"/>
  <c r="F106" i="8"/>
  <c r="F107" i="8"/>
  <c r="F133" i="8"/>
  <c r="L133" i="2"/>
  <c r="F64" i="8"/>
  <c r="L64" i="2" s="1"/>
  <c r="F173" i="8"/>
  <c r="L173" i="2" s="1"/>
  <c r="F72" i="8"/>
  <c r="L72" i="2"/>
  <c r="F23" i="8"/>
  <c r="L23" i="2" s="1"/>
  <c r="F88" i="8"/>
  <c r="F169" i="8"/>
  <c r="L169" i="2"/>
  <c r="F85" i="8"/>
  <c r="L85" i="2" s="1"/>
  <c r="F171" i="8"/>
  <c r="L171" i="2"/>
  <c r="F65" i="8"/>
  <c r="L65" i="2"/>
  <c r="F180" i="8"/>
  <c r="F126" i="8"/>
  <c r="L126" i="2"/>
  <c r="F131" i="8"/>
  <c r="L131" i="2" s="1"/>
  <c r="F183" i="8"/>
  <c r="F82" i="8"/>
  <c r="L82" i="2" s="1"/>
  <c r="F96" i="8"/>
  <c r="L96" i="2"/>
  <c r="F73" i="8"/>
  <c r="L73" i="2" s="1"/>
  <c r="F3" i="8"/>
  <c r="L3" i="2"/>
  <c r="F6" i="8"/>
  <c r="L6" i="2"/>
  <c r="F103" i="8"/>
  <c r="F8" i="8"/>
  <c r="F38" i="8"/>
  <c r="L38" i="2"/>
  <c r="F27" i="8"/>
  <c r="L27" i="2"/>
  <c r="F83" i="8"/>
  <c r="L83" i="2"/>
  <c r="F80" i="8"/>
  <c r="L80" i="2" s="1"/>
  <c r="F102" i="8"/>
  <c r="L102" i="2"/>
  <c r="F89" i="8"/>
  <c r="L89" i="2" s="1"/>
  <c r="F4" i="8"/>
  <c r="F168" i="8"/>
  <c r="L168" i="2" s="1"/>
  <c r="F76" i="8"/>
  <c r="L76" i="2"/>
  <c r="F57" i="8"/>
  <c r="L57" i="2" s="1"/>
  <c r="F36" i="8"/>
  <c r="L36" i="2" s="1"/>
  <c r="F86" i="8"/>
  <c r="L86" i="2" s="1"/>
  <c r="F37" i="8"/>
  <c r="F2" i="8"/>
  <c r="L2" i="2"/>
  <c r="F17" i="8"/>
  <c r="L17" i="2"/>
  <c r="F179" i="8"/>
  <c r="L179" i="2"/>
  <c r="F94" i="8"/>
  <c r="L94" i="2"/>
  <c r="F84" i="8"/>
  <c r="F30" i="8"/>
  <c r="L30" i="2" s="1"/>
  <c r="F35" i="8"/>
  <c r="F24" i="8"/>
  <c r="F68" i="8"/>
  <c r="L68" i="2"/>
  <c r="F63" i="8"/>
  <c r="L63" i="2" s="1"/>
  <c r="F49" i="8"/>
  <c r="L49" i="2" s="1"/>
  <c r="F39" i="8"/>
  <c r="L39" i="2"/>
  <c r="F48" i="8"/>
  <c r="L48" i="2" s="1"/>
  <c r="F40" i="8"/>
  <c r="F53" i="8"/>
  <c r="L53" i="2"/>
  <c r="F42" i="8"/>
  <c r="L42" i="2" s="1"/>
  <c r="F54" i="8"/>
  <c r="L54" i="2"/>
  <c r="F43" i="8"/>
  <c r="L43" i="2"/>
  <c r="F52" i="8"/>
  <c r="F44" i="8"/>
  <c r="L44" i="2"/>
  <c r="F55" i="8"/>
  <c r="L55" i="2" s="1"/>
  <c r="F41" i="8"/>
  <c r="F7" i="8"/>
  <c r="L7" i="2" s="1"/>
  <c r="F56" i="8"/>
  <c r="F25" i="8"/>
  <c r="L25" i="2" s="1"/>
  <c r="F26" i="8"/>
  <c r="L26" i="2"/>
  <c r="F161" i="8"/>
  <c r="L161" i="2" s="1"/>
  <c r="F11" i="8"/>
  <c r="F117" i="7"/>
  <c r="K117" i="2" s="1"/>
  <c r="F111" i="7"/>
  <c r="K111" i="2" s="1"/>
  <c r="F125" i="7"/>
  <c r="F165" i="7"/>
  <c r="K165" i="2" s="1"/>
  <c r="F119" i="7"/>
  <c r="K119" i="2" s="1"/>
  <c r="F135" i="7"/>
  <c r="K135" i="2" s="1"/>
  <c r="F109" i="7"/>
  <c r="K109" i="2" s="1"/>
  <c r="F18" i="7"/>
  <c r="K18" i="2" s="1"/>
  <c r="F21" i="7"/>
  <c r="K21" i="2" s="1"/>
  <c r="F20" i="7"/>
  <c r="F97" i="7"/>
  <c r="K97" i="2" s="1"/>
  <c r="F28" i="7"/>
  <c r="K28" i="2" s="1"/>
  <c r="F136" i="7"/>
  <c r="K136" i="2" s="1"/>
  <c r="F9" i="7"/>
  <c r="K10" i="2" s="1"/>
  <c r="F147" i="7"/>
  <c r="K147" i="2" s="1"/>
  <c r="F118" i="7"/>
  <c r="F120" i="7"/>
  <c r="F140" i="7"/>
  <c r="K140" i="2" s="1"/>
  <c r="F192" i="7"/>
  <c r="F46" i="7"/>
  <c r="K46" i="2" s="1"/>
  <c r="F47" i="7"/>
  <c r="K47" i="2" s="1"/>
  <c r="F170" i="7"/>
  <c r="K170" i="2" s="1"/>
  <c r="F58" i="7"/>
  <c r="K58" i="2" s="1"/>
  <c r="F112" i="7"/>
  <c r="K112" i="2" s="1"/>
  <c r="F122" i="7"/>
  <c r="K122" i="2"/>
  <c r="F167" i="7"/>
  <c r="K167" i="2" s="1"/>
  <c r="F33" i="7"/>
  <c r="K33" i="2" s="1"/>
  <c r="F162" i="7"/>
  <c r="K162" i="2" s="1"/>
  <c r="F132" i="7"/>
  <c r="K132" i="2" s="1"/>
  <c r="F32" i="7"/>
  <c r="K32" i="2" s="1"/>
  <c r="F113" i="7"/>
  <c r="K113" i="2" s="1"/>
  <c r="F146" i="7"/>
  <c r="K146" i="2" s="1"/>
  <c r="F159" i="7"/>
  <c r="K159" i="2" s="1"/>
  <c r="F164" i="7"/>
  <c r="K164" i="2" s="1"/>
  <c r="F128" i="7"/>
  <c r="K128" i="2" s="1"/>
  <c r="F138" i="7"/>
  <c r="K138" i="2" s="1"/>
  <c r="F145" i="7"/>
  <c r="K145" i="2"/>
  <c r="F141" i="7"/>
  <c r="K141" i="2" s="1"/>
  <c r="F50" i="7"/>
  <c r="K50" i="2" s="1"/>
  <c r="F129" i="7"/>
  <c r="K129" i="2" s="1"/>
  <c r="F59" i="7"/>
  <c r="K59" i="2" s="1"/>
  <c r="F177" i="7"/>
  <c r="K177" i="2" s="1"/>
  <c r="F93" i="7"/>
  <c r="F100" i="7"/>
  <c r="K100" i="2" s="1"/>
  <c r="F31" i="7"/>
  <c r="K31" i="2" s="1"/>
  <c r="F34" i="7"/>
  <c r="K34" i="2" s="1"/>
  <c r="F95" i="7"/>
  <c r="F143" i="7"/>
  <c r="K143" i="2" s="1"/>
  <c r="F13" i="7"/>
  <c r="K13" i="2" s="1"/>
  <c r="F160" i="7"/>
  <c r="K160" i="2" s="1"/>
  <c r="F29" i="7"/>
  <c r="K29" i="2" s="1"/>
  <c r="F142" i="7"/>
  <c r="K142" i="2" s="1"/>
  <c r="F155" i="7"/>
  <c r="K155" i="2" s="1"/>
  <c r="F81" i="7"/>
  <c r="K81" i="2" s="1"/>
  <c r="F60" i="7"/>
  <c r="K60" i="2" s="1"/>
  <c r="F14" i="7"/>
  <c r="F74" i="7"/>
  <c r="F178" i="7"/>
  <c r="K178" i="2" s="1"/>
  <c r="F154" i="7"/>
  <c r="K154" i="2" s="1"/>
  <c r="F153" i="7"/>
  <c r="K153" i="2" s="1"/>
  <c r="F163" i="7"/>
  <c r="K163" i="2" s="1"/>
  <c r="F15" i="7"/>
  <c r="K15" i="2" s="1"/>
  <c r="F127" i="7"/>
  <c r="K127" i="2"/>
  <c r="F144" i="7"/>
  <c r="K144" i="2"/>
  <c r="F61" i="7"/>
  <c r="K61" i="2" s="1"/>
  <c r="F115" i="7"/>
  <c r="K115" i="2" s="1"/>
  <c r="F130" i="7"/>
  <c r="K130" i="2" s="1"/>
  <c r="F51" i="7"/>
  <c r="F16" i="7"/>
  <c r="F123" i="7"/>
  <c r="K123" i="2" s="1"/>
  <c r="F174" i="7"/>
  <c r="F150" i="7"/>
  <c r="K150" i="2" s="1"/>
  <c r="F67" i="7"/>
  <c r="K67" i="2" s="1"/>
  <c r="F66" i="7"/>
  <c r="K66" i="2" s="1"/>
  <c r="F175" i="7"/>
  <c r="K175" i="2" s="1"/>
  <c r="F71" i="7"/>
  <c r="K71" i="2" s="1"/>
  <c r="F75" i="7"/>
  <c r="K75" i="2"/>
  <c r="F45" i="7"/>
  <c r="K45" i="2" s="1"/>
  <c r="F191" i="7"/>
  <c r="K191" i="2" s="1"/>
  <c r="F12" i="7"/>
  <c r="K12" i="2" s="1"/>
  <c r="F79" i="7"/>
  <c r="K79" i="2"/>
  <c r="F92" i="7"/>
  <c r="F121" i="7"/>
  <c r="K121" i="2" s="1"/>
  <c r="F188" i="7"/>
  <c r="F98" i="7"/>
  <c r="K98" i="2" s="1"/>
  <c r="F187" i="7"/>
  <c r="K187" i="2" s="1"/>
  <c r="F70" i="7"/>
  <c r="K70" i="2" s="1"/>
  <c r="F77" i="7"/>
  <c r="F184" i="7"/>
  <c r="K184" i="2" s="1"/>
  <c r="F189" i="7"/>
  <c r="K189" i="2" s="1"/>
  <c r="F148" i="7"/>
  <c r="K148" i="2" s="1"/>
  <c r="F157" i="7"/>
  <c r="K157" i="2" s="1"/>
  <c r="F134" i="7"/>
  <c r="K134" i="2" s="1"/>
  <c r="F185" i="7"/>
  <c r="K185" i="2" s="1"/>
  <c r="F166" i="7"/>
  <c r="K166" i="2" s="1"/>
  <c r="F182" i="7"/>
  <c r="F22" i="7"/>
  <c r="K22" i="2" s="1"/>
  <c r="F152" i="7"/>
  <c r="K152" i="2" s="1"/>
  <c r="F116" i="7"/>
  <c r="K116" i="2" s="1"/>
  <c r="F69" i="7"/>
  <c r="K69" i="2" s="1"/>
  <c r="F137" i="7"/>
  <c r="K137" i="2" s="1"/>
  <c r="F87" i="7"/>
  <c r="K87" i="2" s="1"/>
  <c r="F99" i="7"/>
  <c r="K99" i="2" s="1"/>
  <c r="F176" i="7"/>
  <c r="K176" i="2" s="1"/>
  <c r="F110" i="7"/>
  <c r="K110" i="2" s="1"/>
  <c r="F114" i="7"/>
  <c r="K114" i="2" s="1"/>
  <c r="F108" i="7"/>
  <c r="K108" i="2" s="1"/>
  <c r="F149" i="7"/>
  <c r="K149" i="2" s="1"/>
  <c r="F105" i="7"/>
  <c r="K105" i="2" s="1"/>
  <c r="F181" i="7"/>
  <c r="K181" i="2"/>
  <c r="F193" i="7"/>
  <c r="K193" i="2"/>
  <c r="F190" i="7"/>
  <c r="K190" i="2" s="1"/>
  <c r="F172" i="7"/>
  <c r="K172" i="2" s="1"/>
  <c r="F62" i="7"/>
  <c r="K62" i="2" s="1"/>
  <c r="F139" i="7"/>
  <c r="K139" i="2" s="1"/>
  <c r="F104" i="7"/>
  <c r="K104" i="2" s="1"/>
  <c r="F78" i="7"/>
  <c r="F186" i="7"/>
  <c r="K186" i="2" s="1"/>
  <c r="F101" i="7"/>
  <c r="K101" i="2" s="1"/>
  <c r="F151" i="7"/>
  <c r="K151" i="2" s="1"/>
  <c r="F90" i="7"/>
  <c r="F91" i="7"/>
  <c r="K91" i="2" s="1"/>
  <c r="F124" i="7"/>
  <c r="K124" i="2" s="1"/>
  <c r="F156" i="7"/>
  <c r="K156" i="2" s="1"/>
  <c r="F19" i="7"/>
  <c r="F158" i="7"/>
  <c r="K158" i="2" s="1"/>
  <c r="F5" i="7"/>
  <c r="K5" i="2" s="1"/>
  <c r="F106" i="7"/>
  <c r="K106" i="2" s="1"/>
  <c r="F107" i="7"/>
  <c r="K107" i="2" s="1"/>
  <c r="F133" i="7"/>
  <c r="K133" i="2" s="1"/>
  <c r="F64" i="7"/>
  <c r="K64" i="2" s="1"/>
  <c r="F173" i="7"/>
  <c r="K173" i="2" s="1"/>
  <c r="F72" i="7"/>
  <c r="K72" i="2" s="1"/>
  <c r="F23" i="7"/>
  <c r="K23" i="2" s="1"/>
  <c r="F88" i="7"/>
  <c r="K88" i="2" s="1"/>
  <c r="F169" i="7"/>
  <c r="F85" i="7"/>
  <c r="K85" i="2" s="1"/>
  <c r="F171" i="7"/>
  <c r="K171" i="2" s="1"/>
  <c r="F65" i="7"/>
  <c r="K65" i="2" s="1"/>
  <c r="F180" i="7"/>
  <c r="K180" i="2" s="1"/>
  <c r="F126" i="7"/>
  <c r="K126" i="2" s="1"/>
  <c r="F131" i="7"/>
  <c r="K131" i="2" s="1"/>
  <c r="F183" i="7"/>
  <c r="K183" i="2" s="1"/>
  <c r="F82" i="7"/>
  <c r="K82" i="2" s="1"/>
  <c r="F96" i="7"/>
  <c r="K96" i="2" s="1"/>
  <c r="F73" i="7"/>
  <c r="K73" i="2"/>
  <c r="F3" i="7"/>
  <c r="F6" i="7"/>
  <c r="F103" i="7"/>
  <c r="F8" i="7"/>
  <c r="K8" i="2" s="1"/>
  <c r="F38" i="7"/>
  <c r="K38" i="2"/>
  <c r="F27" i="7"/>
  <c r="K27" i="2" s="1"/>
  <c r="F83" i="7"/>
  <c r="K83" i="2" s="1"/>
  <c r="F80" i="7"/>
  <c r="K80" i="2" s="1"/>
  <c r="F102" i="7"/>
  <c r="K102" i="2" s="1"/>
  <c r="F89" i="7"/>
  <c r="F4" i="7"/>
  <c r="K4" i="2" s="1"/>
  <c r="F168" i="7"/>
  <c r="K168" i="2" s="1"/>
  <c r="F76" i="7"/>
  <c r="K76" i="2" s="1"/>
  <c r="F57" i="7"/>
  <c r="F36" i="7"/>
  <c r="F86" i="7"/>
  <c r="F37" i="7"/>
  <c r="K37" i="2" s="1"/>
  <c r="F2" i="7"/>
  <c r="K2" i="2" s="1"/>
  <c r="F17" i="7"/>
  <c r="K17" i="2" s="1"/>
  <c r="F179" i="7"/>
  <c r="K179" i="2" s="1"/>
  <c r="F94" i="7"/>
  <c r="K94" i="2" s="1"/>
  <c r="F84" i="7"/>
  <c r="K84" i="2" s="1"/>
  <c r="F30" i="7"/>
  <c r="K30" i="2" s="1"/>
  <c r="F35" i="7"/>
  <c r="K35" i="2" s="1"/>
  <c r="F24" i="7"/>
  <c r="K24" i="2" s="1"/>
  <c r="F68" i="7"/>
  <c r="K68" i="2" s="1"/>
  <c r="F63" i="7"/>
  <c r="K63" i="2" s="1"/>
  <c r="F49" i="7"/>
  <c r="F39" i="7"/>
  <c r="K39" i="2" s="1"/>
  <c r="F48" i="7"/>
  <c r="K48" i="2" s="1"/>
  <c r="F40" i="7"/>
  <c r="K40" i="2" s="1"/>
  <c r="F53" i="7"/>
  <c r="K53" i="2" s="1"/>
  <c r="F42" i="7"/>
  <c r="F54" i="7"/>
  <c r="K54" i="2" s="1"/>
  <c r="F43" i="7"/>
  <c r="F52" i="7"/>
  <c r="K52" i="2" s="1"/>
  <c r="F44" i="7"/>
  <c r="K44" i="2" s="1"/>
  <c r="F55" i="7"/>
  <c r="K55" i="2" s="1"/>
  <c r="F41" i="7"/>
  <c r="K41" i="2" s="1"/>
  <c r="F7" i="7"/>
  <c r="K7" i="2" s="1"/>
  <c r="F56" i="7"/>
  <c r="K56" i="2" s="1"/>
  <c r="F25" i="7"/>
  <c r="K25" i="2" s="1"/>
  <c r="F26" i="7"/>
  <c r="K26" i="2" s="1"/>
  <c r="F161" i="7"/>
  <c r="K161" i="2" s="1"/>
  <c r="F11" i="7"/>
  <c r="K9" i="2" s="1"/>
  <c r="F117" i="6"/>
  <c r="J117" i="2" s="1"/>
  <c r="F111" i="6"/>
  <c r="J111" i="2" s="1"/>
  <c r="F125" i="6"/>
  <c r="J125" i="2" s="1"/>
  <c r="F165" i="6"/>
  <c r="F119" i="6"/>
  <c r="F135" i="6"/>
  <c r="F109" i="6"/>
  <c r="J109" i="2" s="1"/>
  <c r="F18" i="6"/>
  <c r="J18" i="2" s="1"/>
  <c r="F21" i="6"/>
  <c r="J21" i="2" s="1"/>
  <c r="F20" i="6"/>
  <c r="F97" i="6"/>
  <c r="F10" i="6"/>
  <c r="F28" i="6"/>
  <c r="J28" i="2" s="1"/>
  <c r="F136" i="6"/>
  <c r="J136" i="2" s="1"/>
  <c r="F9" i="6"/>
  <c r="F147" i="6"/>
  <c r="F118" i="6"/>
  <c r="J118" i="2" s="1"/>
  <c r="F120" i="6"/>
  <c r="J120" i="2" s="1"/>
  <c r="F140" i="6"/>
  <c r="F192" i="6"/>
  <c r="F46" i="6"/>
  <c r="F47" i="6"/>
  <c r="F170" i="6"/>
  <c r="F58" i="6"/>
  <c r="F112" i="6"/>
  <c r="J112" i="2" s="1"/>
  <c r="F122" i="6"/>
  <c r="J122" i="2"/>
  <c r="F167" i="6"/>
  <c r="J167" i="2" s="1"/>
  <c r="F33" i="6"/>
  <c r="F162" i="6"/>
  <c r="J162" i="2" s="1"/>
  <c r="F132" i="6"/>
  <c r="J132" i="2" s="1"/>
  <c r="F32" i="6"/>
  <c r="F113" i="6"/>
  <c r="J113" i="2" s="1"/>
  <c r="F146" i="6"/>
  <c r="F159" i="6"/>
  <c r="J159" i="2" s="1"/>
  <c r="F164" i="6"/>
  <c r="F128" i="6"/>
  <c r="J128" i="2"/>
  <c r="F138" i="6"/>
  <c r="J138" i="2" s="1"/>
  <c r="F145" i="6"/>
  <c r="J145" i="2"/>
  <c r="F141" i="6"/>
  <c r="J141" i="2" s="1"/>
  <c r="F50" i="6"/>
  <c r="F129" i="6"/>
  <c r="J129" i="2" s="1"/>
  <c r="F59" i="6"/>
  <c r="F177" i="6"/>
  <c r="F93" i="6"/>
  <c r="F100" i="6"/>
  <c r="F31" i="6"/>
  <c r="F34" i="6"/>
  <c r="F95" i="6"/>
  <c r="F143" i="6"/>
  <c r="F13" i="6"/>
  <c r="F160" i="6"/>
  <c r="J160" i="2" s="1"/>
  <c r="F29" i="6"/>
  <c r="F142" i="6"/>
  <c r="J142" i="2" s="1"/>
  <c r="F155" i="6"/>
  <c r="F81" i="6"/>
  <c r="F60" i="6"/>
  <c r="F14" i="6"/>
  <c r="F74" i="6"/>
  <c r="F178" i="6"/>
  <c r="F154" i="6"/>
  <c r="F153" i="6"/>
  <c r="J153" i="2" s="1"/>
  <c r="F163" i="6"/>
  <c r="J163" i="2" s="1"/>
  <c r="F15" i="6"/>
  <c r="F127" i="6"/>
  <c r="J127" i="2"/>
  <c r="F144" i="6"/>
  <c r="J144" i="2"/>
  <c r="F61" i="6"/>
  <c r="F115" i="6"/>
  <c r="J115" i="2" s="1"/>
  <c r="F130" i="6"/>
  <c r="J130" i="2" s="1"/>
  <c r="F51" i="6"/>
  <c r="F16" i="6"/>
  <c r="F123" i="6"/>
  <c r="F174" i="6"/>
  <c r="F150" i="6"/>
  <c r="F67" i="6"/>
  <c r="F66" i="6"/>
  <c r="F175" i="6"/>
  <c r="F71" i="6"/>
  <c r="F75" i="6"/>
  <c r="J75" i="2"/>
  <c r="F45" i="6"/>
  <c r="F191" i="6"/>
  <c r="F12" i="6"/>
  <c r="F79" i="6"/>
  <c r="J79" i="2"/>
  <c r="F92" i="6"/>
  <c r="F121" i="6"/>
  <c r="J121" i="2"/>
  <c r="F188" i="6"/>
  <c r="F98" i="6"/>
  <c r="F187" i="6"/>
  <c r="F70" i="6"/>
  <c r="F77" i="6"/>
  <c r="F184" i="6"/>
  <c r="F189" i="6"/>
  <c r="F148" i="6"/>
  <c r="J148" i="2" s="1"/>
  <c r="F157" i="6"/>
  <c r="J157" i="2" s="1"/>
  <c r="F134" i="6"/>
  <c r="F185" i="6"/>
  <c r="F166" i="6"/>
  <c r="F182" i="6"/>
  <c r="F22" i="6"/>
  <c r="F152" i="6"/>
  <c r="J152" i="2" s="1"/>
  <c r="F116" i="6"/>
  <c r="J116" i="2" s="1"/>
  <c r="F69" i="6"/>
  <c r="F137" i="6"/>
  <c r="J137" i="2" s="1"/>
  <c r="F87" i="6"/>
  <c r="F99" i="6"/>
  <c r="F176" i="6"/>
  <c r="F110" i="6"/>
  <c r="J110" i="2"/>
  <c r="F114" i="6"/>
  <c r="F108" i="6"/>
  <c r="F149" i="6"/>
  <c r="F105" i="6"/>
  <c r="F181" i="6"/>
  <c r="J181" i="2"/>
  <c r="F193" i="6"/>
  <c r="J193" i="2"/>
  <c r="F190" i="6"/>
  <c r="F172" i="6"/>
  <c r="F62" i="6"/>
  <c r="F139" i="6"/>
  <c r="J139" i="2" s="1"/>
  <c r="F104" i="6"/>
  <c r="F78" i="6"/>
  <c r="F186" i="6"/>
  <c r="F101" i="6"/>
  <c r="F151" i="6"/>
  <c r="F90" i="6"/>
  <c r="F91" i="6"/>
  <c r="F124" i="6"/>
  <c r="J124" i="2" s="1"/>
  <c r="F156" i="6"/>
  <c r="J156" i="2" s="1"/>
  <c r="F19" i="6"/>
  <c r="J19" i="2" s="1"/>
  <c r="F158" i="6"/>
  <c r="J158" i="2" s="1"/>
  <c r="F5" i="6"/>
  <c r="F106" i="6"/>
  <c r="F107" i="6"/>
  <c r="F133" i="6"/>
  <c r="J133" i="2" s="1"/>
  <c r="F64" i="6"/>
  <c r="F173" i="6"/>
  <c r="F72" i="6"/>
  <c r="F23" i="6"/>
  <c r="F88" i="6"/>
  <c r="J88" i="2"/>
  <c r="F169" i="6"/>
  <c r="F85" i="6"/>
  <c r="F171" i="6"/>
  <c r="F65" i="6"/>
  <c r="F180" i="6"/>
  <c r="F126" i="6"/>
  <c r="F131" i="6"/>
  <c r="J131" i="2" s="1"/>
  <c r="F183" i="6"/>
  <c r="F82" i="6"/>
  <c r="F96" i="6"/>
  <c r="F73" i="6"/>
  <c r="J73" i="2"/>
  <c r="F3" i="6"/>
  <c r="F6" i="6"/>
  <c r="F103" i="6"/>
  <c r="F8" i="6"/>
  <c r="F38" i="6"/>
  <c r="J38" i="2"/>
  <c r="F27" i="6"/>
  <c r="F83" i="6"/>
  <c r="F80" i="6"/>
  <c r="F102" i="6"/>
  <c r="F89" i="6"/>
  <c r="F4" i="6"/>
  <c r="F168" i="6"/>
  <c r="F76" i="6"/>
  <c r="F57" i="6"/>
  <c r="F36" i="6"/>
  <c r="F86" i="6"/>
  <c r="F37" i="6"/>
  <c r="F2" i="6"/>
  <c r="F17" i="6"/>
  <c r="F179" i="6"/>
  <c r="F94" i="6"/>
  <c r="F84" i="6"/>
  <c r="F30" i="6"/>
  <c r="F35" i="6"/>
  <c r="F24" i="6"/>
  <c r="J24" i="2" s="1"/>
  <c r="F68" i="6"/>
  <c r="F63" i="6"/>
  <c r="J63" i="2"/>
  <c r="F49" i="6"/>
  <c r="F39" i="6"/>
  <c r="F48" i="6"/>
  <c r="F40" i="6"/>
  <c r="F53" i="6"/>
  <c r="F42" i="6"/>
  <c r="F54" i="6"/>
  <c r="F43" i="6"/>
  <c r="F52" i="6"/>
  <c r="F44" i="6"/>
  <c r="F55" i="6"/>
  <c r="F41" i="6"/>
  <c r="F7" i="6"/>
  <c r="F56" i="6"/>
  <c r="F25" i="6"/>
  <c r="F26" i="6"/>
  <c r="F161" i="6"/>
  <c r="F11" i="6"/>
  <c r="F117" i="5"/>
  <c r="I117" i="2" s="1"/>
  <c r="F111" i="5"/>
  <c r="I111" i="2" s="1"/>
  <c r="F125" i="5"/>
  <c r="F165" i="5"/>
  <c r="I165" i="2" s="1"/>
  <c r="F119" i="5"/>
  <c r="I119" i="2" s="1"/>
  <c r="F135" i="5"/>
  <c r="I135" i="2" s="1"/>
  <c r="F109" i="5"/>
  <c r="I109" i="2" s="1"/>
  <c r="F18" i="5"/>
  <c r="I18" i="2" s="1"/>
  <c r="F21" i="5"/>
  <c r="I21" i="2" s="1"/>
  <c r="F20" i="5"/>
  <c r="F97" i="5"/>
  <c r="I97" i="2" s="1"/>
  <c r="F10" i="5"/>
  <c r="I11" i="2" s="1"/>
  <c r="F28" i="5"/>
  <c r="I28" i="2" s="1"/>
  <c r="F136" i="5"/>
  <c r="F9" i="5"/>
  <c r="I10" i="2" s="1"/>
  <c r="F147" i="5"/>
  <c r="F118" i="5"/>
  <c r="I118" i="2" s="1"/>
  <c r="F120" i="5"/>
  <c r="F140" i="5"/>
  <c r="I140" i="2" s="1"/>
  <c r="F192" i="5"/>
  <c r="I192" i="2" s="1"/>
  <c r="F46" i="5"/>
  <c r="I46" i="2" s="1"/>
  <c r="F47" i="5"/>
  <c r="I47" i="2" s="1"/>
  <c r="F170" i="5"/>
  <c r="I170" i="2" s="1"/>
  <c r="F58" i="5"/>
  <c r="I58" i="2" s="1"/>
  <c r="F112" i="5"/>
  <c r="I112" i="2" s="1"/>
  <c r="F122" i="5"/>
  <c r="I122" i="2" s="1"/>
  <c r="F167" i="5"/>
  <c r="F33" i="5"/>
  <c r="F162" i="5"/>
  <c r="I162" i="2" s="1"/>
  <c r="F132" i="5"/>
  <c r="I132" i="2" s="1"/>
  <c r="F32" i="5"/>
  <c r="I32" i="2" s="1"/>
  <c r="F113" i="5"/>
  <c r="I113" i="2" s="1"/>
  <c r="F146" i="5"/>
  <c r="I146" i="2" s="1"/>
  <c r="F159" i="5"/>
  <c r="I159" i="2" s="1"/>
  <c r="F164" i="5"/>
  <c r="F128" i="5"/>
  <c r="I128" i="2" s="1"/>
  <c r="F138" i="5"/>
  <c r="I138" i="2" s="1"/>
  <c r="F145" i="5"/>
  <c r="I145" i="2"/>
  <c r="F141" i="5"/>
  <c r="I141" i="2" s="1"/>
  <c r="F50" i="5"/>
  <c r="I50" i="2" s="1"/>
  <c r="F129" i="5"/>
  <c r="F59" i="5"/>
  <c r="F177" i="5"/>
  <c r="F93" i="5"/>
  <c r="F100" i="5"/>
  <c r="F31" i="5"/>
  <c r="I31" i="2" s="1"/>
  <c r="F34" i="5"/>
  <c r="F95" i="5"/>
  <c r="I95" i="2" s="1"/>
  <c r="F143" i="5"/>
  <c r="I143" i="2" s="1"/>
  <c r="F13" i="5"/>
  <c r="I13" i="2" s="1"/>
  <c r="F160" i="5"/>
  <c r="I160" i="2" s="1"/>
  <c r="F29" i="5"/>
  <c r="I29" i="2" s="1"/>
  <c r="F142" i="5"/>
  <c r="I142" i="2" s="1"/>
  <c r="F155" i="5"/>
  <c r="I155" i="2" s="1"/>
  <c r="F81" i="5"/>
  <c r="I81" i="2" s="1"/>
  <c r="F60" i="5"/>
  <c r="F14" i="5"/>
  <c r="I14" i="2" s="1"/>
  <c r="F74" i="5"/>
  <c r="F178" i="5"/>
  <c r="I178" i="2" s="1"/>
  <c r="F154" i="5"/>
  <c r="I154" i="2"/>
  <c r="F153" i="5"/>
  <c r="I153" i="2" s="1"/>
  <c r="F163" i="5"/>
  <c r="I163" i="2" s="1"/>
  <c r="F15" i="5"/>
  <c r="I15" i="2" s="1"/>
  <c r="F127" i="5"/>
  <c r="I127" i="2" s="1"/>
  <c r="F144" i="5"/>
  <c r="I144" i="2" s="1"/>
  <c r="F61" i="5"/>
  <c r="F115" i="5"/>
  <c r="I115" i="2" s="1"/>
  <c r="F130" i="5"/>
  <c r="F51" i="5"/>
  <c r="I51" i="2" s="1"/>
  <c r="F16" i="5"/>
  <c r="F123" i="5"/>
  <c r="F174" i="5"/>
  <c r="I174" i="2" s="1"/>
  <c r="F150" i="5"/>
  <c r="I150" i="2" s="1"/>
  <c r="F67" i="5"/>
  <c r="I67" i="2" s="1"/>
  <c r="F66" i="5"/>
  <c r="I66" i="2" s="1"/>
  <c r="F175" i="5"/>
  <c r="I175" i="2" s="1"/>
  <c r="F71" i="5"/>
  <c r="I71" i="2" s="1"/>
  <c r="F75" i="5"/>
  <c r="I75" i="2" s="1"/>
  <c r="F45" i="5"/>
  <c r="I45" i="2" s="1"/>
  <c r="F191" i="5"/>
  <c r="F12" i="5"/>
  <c r="F79" i="5"/>
  <c r="I79" i="2" s="1"/>
  <c r="F92" i="5"/>
  <c r="I92" i="2" s="1"/>
  <c r="F121" i="5"/>
  <c r="I121" i="2"/>
  <c r="F188" i="5"/>
  <c r="I188" i="2" s="1"/>
  <c r="F98" i="5"/>
  <c r="I98" i="2" s="1"/>
  <c r="F187" i="5"/>
  <c r="I187" i="2" s="1"/>
  <c r="F70" i="5"/>
  <c r="F77" i="5"/>
  <c r="I77" i="2" s="1"/>
  <c r="F184" i="5"/>
  <c r="I184" i="2" s="1"/>
  <c r="F189" i="5"/>
  <c r="I189" i="2" s="1"/>
  <c r="F148" i="5"/>
  <c r="I148" i="2" s="1"/>
  <c r="F157" i="5"/>
  <c r="F134" i="5"/>
  <c r="I134" i="2" s="1"/>
  <c r="F185" i="5"/>
  <c r="F166" i="5"/>
  <c r="I166" i="2" s="1"/>
  <c r="F182" i="5"/>
  <c r="I182" i="2" s="1"/>
  <c r="F22" i="5"/>
  <c r="F152" i="5"/>
  <c r="I152" i="2" s="1"/>
  <c r="F116" i="5"/>
  <c r="I116" i="2" s="1"/>
  <c r="F69" i="5"/>
  <c r="I69" i="2" s="1"/>
  <c r="F137" i="5"/>
  <c r="I137" i="2" s="1"/>
  <c r="F87" i="5"/>
  <c r="I87" i="2" s="1"/>
  <c r="F99" i="5"/>
  <c r="I99" i="2" s="1"/>
  <c r="F176" i="5"/>
  <c r="I176" i="2" s="1"/>
  <c r="F110" i="5"/>
  <c r="I110" i="2"/>
  <c r="F114" i="5"/>
  <c r="I114" i="2" s="1"/>
  <c r="F108" i="5"/>
  <c r="F149" i="5"/>
  <c r="F105" i="5"/>
  <c r="I105" i="2" s="1"/>
  <c r="F181" i="5"/>
  <c r="I181" i="2" s="1"/>
  <c r="F193" i="5"/>
  <c r="I193" i="2"/>
  <c r="F190" i="5"/>
  <c r="I190" i="2" s="1"/>
  <c r="F172" i="5"/>
  <c r="I172" i="2" s="1"/>
  <c r="F62" i="5"/>
  <c r="I62" i="2" s="1"/>
  <c r="F139" i="5"/>
  <c r="I139" i="2" s="1"/>
  <c r="F104" i="5"/>
  <c r="I104" i="2" s="1"/>
  <c r="F78" i="5"/>
  <c r="F186" i="5"/>
  <c r="F101" i="5"/>
  <c r="F151" i="5"/>
  <c r="F90" i="5"/>
  <c r="F91" i="5"/>
  <c r="F124" i="5"/>
  <c r="I124" i="2" s="1"/>
  <c r="F156" i="5"/>
  <c r="I156" i="2" s="1"/>
  <c r="F19" i="5"/>
  <c r="I19" i="2" s="1"/>
  <c r="F158" i="5"/>
  <c r="F5" i="5"/>
  <c r="F106" i="5"/>
  <c r="I106" i="2" s="1"/>
  <c r="F107" i="5"/>
  <c r="I107" i="2" s="1"/>
  <c r="F133" i="5"/>
  <c r="I133" i="2" s="1"/>
  <c r="F64" i="5"/>
  <c r="F173" i="5"/>
  <c r="I173" i="2" s="1"/>
  <c r="F72" i="5"/>
  <c r="F23" i="5"/>
  <c r="I23" i="2" s="1"/>
  <c r="F88" i="5"/>
  <c r="I88" i="2"/>
  <c r="F169" i="5"/>
  <c r="F85" i="5"/>
  <c r="I85" i="2" s="1"/>
  <c r="F171" i="5"/>
  <c r="I171" i="2" s="1"/>
  <c r="F65" i="5"/>
  <c r="I65" i="2" s="1"/>
  <c r="F180" i="5"/>
  <c r="I180" i="2" s="1"/>
  <c r="F126" i="5"/>
  <c r="I126" i="2" s="1"/>
  <c r="F131" i="5"/>
  <c r="I131" i="2" s="1"/>
  <c r="F183" i="5"/>
  <c r="I183" i="2" s="1"/>
  <c r="F82" i="5"/>
  <c r="F96" i="5"/>
  <c r="I96" i="2" s="1"/>
  <c r="F73" i="5"/>
  <c r="I73" i="2" s="1"/>
  <c r="F3" i="5"/>
  <c r="F6" i="5"/>
  <c r="I6" i="2" s="1"/>
  <c r="F103" i="5"/>
  <c r="I103" i="2" s="1"/>
  <c r="F8" i="5"/>
  <c r="I8" i="2" s="1"/>
  <c r="F38" i="5"/>
  <c r="I38" i="2" s="1"/>
  <c r="F27" i="5"/>
  <c r="I27" i="2" s="1"/>
  <c r="F83" i="5"/>
  <c r="I83" i="2" s="1"/>
  <c r="F80" i="5"/>
  <c r="I80" i="2" s="1"/>
  <c r="F102" i="5"/>
  <c r="I102" i="2" s="1"/>
  <c r="F89" i="5"/>
  <c r="I89" i="2" s="1"/>
  <c r="F4" i="5"/>
  <c r="F168" i="5"/>
  <c r="F76" i="5"/>
  <c r="F57" i="5"/>
  <c r="I57" i="2" s="1"/>
  <c r="F36" i="5"/>
  <c r="I36" i="2" s="1"/>
  <c r="F86" i="5"/>
  <c r="I86" i="2" s="1"/>
  <c r="F37" i="5"/>
  <c r="F2" i="5"/>
  <c r="F17" i="5"/>
  <c r="I17" i="2" s="1"/>
  <c r="F179" i="5"/>
  <c r="I179" i="2" s="1"/>
  <c r="F94" i="5"/>
  <c r="I94" i="2" s="1"/>
  <c r="F84" i="5"/>
  <c r="I84" i="2" s="1"/>
  <c r="F30" i="5"/>
  <c r="I30" i="2" s="1"/>
  <c r="F35" i="5"/>
  <c r="I35" i="2" s="1"/>
  <c r="F24" i="5"/>
  <c r="F68" i="5"/>
  <c r="I68" i="2" s="1"/>
  <c r="F63" i="5"/>
  <c r="I63" i="2" s="1"/>
  <c r="F49" i="5"/>
  <c r="F39" i="5"/>
  <c r="F48" i="5"/>
  <c r="F40" i="5"/>
  <c r="F53" i="5"/>
  <c r="I53" i="2" s="1"/>
  <c r="F42" i="5"/>
  <c r="I42" i="2" s="1"/>
  <c r="F54" i="5"/>
  <c r="I54" i="2" s="1"/>
  <c r="F43" i="5"/>
  <c r="I43" i="2" s="1"/>
  <c r="F52" i="5"/>
  <c r="I52" i="2" s="1"/>
  <c r="F44" i="5"/>
  <c r="I44" i="2" s="1"/>
  <c r="F55" i="5"/>
  <c r="I55" i="2" s="1"/>
  <c r="F41" i="5"/>
  <c r="I41" i="2" s="1"/>
  <c r="F7" i="5"/>
  <c r="I7" i="2" s="1"/>
  <c r="F56" i="5"/>
  <c r="F25" i="5"/>
  <c r="F26" i="5"/>
  <c r="F161" i="5"/>
  <c r="I161" i="2" s="1"/>
  <c r="F11" i="5"/>
  <c r="F117" i="4"/>
  <c r="H117" i="2" s="1"/>
  <c r="F110" i="4"/>
  <c r="H111" i="2" s="1"/>
  <c r="F121" i="4"/>
  <c r="H125" i="2" s="1"/>
  <c r="F158" i="4"/>
  <c r="H165" i="2" s="1"/>
  <c r="F118" i="4"/>
  <c r="H119" i="2" s="1"/>
  <c r="F127" i="4"/>
  <c r="H135" i="2" s="1"/>
  <c r="F109" i="4"/>
  <c r="H109" i="2" s="1"/>
  <c r="F18" i="4"/>
  <c r="H18" i="2" s="1"/>
  <c r="F19" i="4"/>
  <c r="H21" i="2" s="1"/>
  <c r="F20" i="4"/>
  <c r="H20" i="2" s="1"/>
  <c r="F95" i="4"/>
  <c r="H97" i="2" s="1"/>
  <c r="F9" i="4"/>
  <c r="H11" i="2" s="1"/>
  <c r="F28" i="4"/>
  <c r="H28" i="2" s="1"/>
  <c r="F128" i="4"/>
  <c r="H136" i="2" s="1"/>
  <c r="F10" i="4"/>
  <c r="H10" i="2" s="1"/>
  <c r="F144" i="4"/>
  <c r="H147" i="2" s="1"/>
  <c r="F119" i="4"/>
  <c r="H118" i="2" s="1"/>
  <c r="F120" i="4"/>
  <c r="H120" i="2" s="1"/>
  <c r="F129" i="4"/>
  <c r="H140" i="2" s="1"/>
  <c r="F186" i="4"/>
  <c r="H192" i="2" s="1"/>
  <c r="F46" i="4"/>
  <c r="H46" i="2" s="1"/>
  <c r="F47" i="4"/>
  <c r="H47" i="2" s="1"/>
  <c r="F168" i="4"/>
  <c r="H170" i="2" s="1"/>
  <c r="F58" i="4"/>
  <c r="H58" i="2" s="1"/>
  <c r="F111" i="4"/>
  <c r="H112" i="2" s="1"/>
  <c r="F122" i="4"/>
  <c r="H122" i="2" s="1"/>
  <c r="F159" i="4"/>
  <c r="H167" i="2" s="1"/>
  <c r="F33" i="4"/>
  <c r="H33" i="2" s="1"/>
  <c r="F160" i="4"/>
  <c r="H162" i="2" s="1"/>
  <c r="F130" i="4"/>
  <c r="H132" i="2" s="1"/>
  <c r="F32" i="4"/>
  <c r="H32" i="2" s="1"/>
  <c r="F112" i="4"/>
  <c r="H113" i="2" s="1"/>
  <c r="F145" i="4"/>
  <c r="H146" i="2" s="1"/>
  <c r="F161" i="4"/>
  <c r="H159" i="2" s="1"/>
  <c r="F162" i="4"/>
  <c r="H164" i="2" s="1"/>
  <c r="F131" i="4"/>
  <c r="H128" i="2" s="1"/>
  <c r="F132" i="4"/>
  <c r="H138" i="2" s="1"/>
  <c r="F146" i="4"/>
  <c r="H145" i="2" s="1"/>
  <c r="F133" i="4"/>
  <c r="H141" i="2" s="1"/>
  <c r="F50" i="4"/>
  <c r="H50" i="2" s="1"/>
  <c r="F134" i="4"/>
  <c r="H129" i="2" s="1"/>
  <c r="F59" i="4"/>
  <c r="H59" i="2" s="1"/>
  <c r="F177" i="4"/>
  <c r="H177" i="2" s="1"/>
  <c r="F93" i="4"/>
  <c r="H93" i="2" s="1"/>
  <c r="F96" i="4"/>
  <c r="F31" i="4"/>
  <c r="H31" i="2" s="1"/>
  <c r="F34" i="4"/>
  <c r="H34" i="2" s="1"/>
  <c r="F97" i="4"/>
  <c r="H95" i="2" s="1"/>
  <c r="F143" i="4"/>
  <c r="H143" i="2" s="1"/>
  <c r="F11" i="4"/>
  <c r="H13" i="2" s="1"/>
  <c r="F163" i="4"/>
  <c r="H160" i="2" s="1"/>
  <c r="F29" i="4"/>
  <c r="H29" i="2" s="1"/>
  <c r="F142" i="4"/>
  <c r="H142" i="2" s="1"/>
  <c r="F154" i="4"/>
  <c r="H155" i="2" s="1"/>
  <c r="F78" i="4"/>
  <c r="H81" i="2" s="1"/>
  <c r="F60" i="4"/>
  <c r="H60" i="2" s="1"/>
  <c r="F12" i="4"/>
  <c r="H14" i="2" s="1"/>
  <c r="F73" i="4"/>
  <c r="H74" i="2" s="1"/>
  <c r="F178" i="4"/>
  <c r="H178" i="2" s="1"/>
  <c r="F155" i="4"/>
  <c r="H154" i="2" s="1"/>
  <c r="F150" i="4"/>
  <c r="H153" i="2" s="1"/>
  <c r="F164" i="4"/>
  <c r="H163" i="2" s="1"/>
  <c r="F13" i="4"/>
  <c r="H15" i="2" s="1"/>
  <c r="F135" i="4"/>
  <c r="H127" i="2" s="1"/>
  <c r="F147" i="4"/>
  <c r="H144" i="2" s="1"/>
  <c r="F61" i="4"/>
  <c r="H61" i="2" s="1"/>
  <c r="F113" i="4"/>
  <c r="H115" i="2" s="1"/>
  <c r="F136" i="4"/>
  <c r="H130" i="2" s="1"/>
  <c r="F51" i="4"/>
  <c r="H51" i="2" s="1"/>
  <c r="F14" i="4"/>
  <c r="H16" i="2" s="1"/>
  <c r="F123" i="4"/>
  <c r="H123" i="2" s="1"/>
  <c r="F169" i="4"/>
  <c r="H174" i="2" s="1"/>
  <c r="F151" i="4"/>
  <c r="H150" i="2" s="1"/>
  <c r="F63" i="4"/>
  <c r="H67" i="2" s="1"/>
  <c r="F64" i="4"/>
  <c r="H66" i="2" s="1"/>
  <c r="F170" i="4"/>
  <c r="H175" i="2" s="1"/>
  <c r="F65" i="4"/>
  <c r="H71" i="2" s="1"/>
  <c r="F75" i="4"/>
  <c r="H75" i="2" s="1"/>
  <c r="F45" i="4"/>
  <c r="H45" i="2" s="1"/>
  <c r="F187" i="4"/>
  <c r="H191" i="2" s="1"/>
  <c r="F15" i="4"/>
  <c r="H12" i="2" s="1"/>
  <c r="F79" i="4"/>
  <c r="H79" i="2" s="1"/>
  <c r="F88" i="4"/>
  <c r="H92" i="2" s="1"/>
  <c r="F124" i="4"/>
  <c r="H121" i="2" s="1"/>
  <c r="F188" i="4"/>
  <c r="H188" i="2" s="1"/>
  <c r="F98" i="4"/>
  <c r="H98" i="2" s="1"/>
  <c r="F189" i="4"/>
  <c r="H187" i="2" s="1"/>
  <c r="F66" i="4"/>
  <c r="H70" i="2" s="1"/>
  <c r="F76" i="4"/>
  <c r="H77" i="2" s="1"/>
  <c r="F181" i="4"/>
  <c r="H184" i="2" s="1"/>
  <c r="F190" i="4"/>
  <c r="H189" i="2" s="1"/>
  <c r="F148" i="4"/>
  <c r="H148" i="2" s="1"/>
  <c r="F156" i="4"/>
  <c r="H157" i="2" s="1"/>
  <c r="F137" i="4"/>
  <c r="H134" i="2" s="1"/>
  <c r="F185" i="4"/>
  <c r="H185" i="2" s="1"/>
  <c r="F165" i="4"/>
  <c r="H166" i="2" s="1"/>
  <c r="F182" i="4"/>
  <c r="H182" i="2" s="1"/>
  <c r="F22" i="4"/>
  <c r="H22" i="2" s="1"/>
  <c r="F152" i="4"/>
  <c r="H152" i="2" s="1"/>
  <c r="F114" i="4"/>
  <c r="H116" i="2" s="1"/>
  <c r="F67" i="4"/>
  <c r="H69" i="2" s="1"/>
  <c r="F138" i="4"/>
  <c r="H137" i="2" s="1"/>
  <c r="F80" i="4"/>
  <c r="H87" i="2" s="1"/>
  <c r="F99" i="4"/>
  <c r="H99" i="2" s="1"/>
  <c r="F171" i="4"/>
  <c r="H176" i="2" s="1"/>
  <c r="F115" i="4"/>
  <c r="H110" i="2" s="1"/>
  <c r="F116" i="4"/>
  <c r="H114" i="2" s="1"/>
  <c r="F102" i="4"/>
  <c r="H108" i="2" s="1"/>
  <c r="F149" i="4"/>
  <c r="H149" i="2" s="1"/>
  <c r="F103" i="4"/>
  <c r="H105" i="2" s="1"/>
  <c r="F183" i="4"/>
  <c r="H181" i="2" s="1"/>
  <c r="F193" i="4"/>
  <c r="H193" i="2" s="1"/>
  <c r="F191" i="4"/>
  <c r="H190" i="2" s="1"/>
  <c r="F172" i="4"/>
  <c r="H172" i="2" s="1"/>
  <c r="F62" i="4"/>
  <c r="H62" i="2" s="1"/>
  <c r="F139" i="4"/>
  <c r="H139" i="2" s="1"/>
  <c r="F104" i="4"/>
  <c r="H104" i="2" s="1"/>
  <c r="F81" i="4"/>
  <c r="H78" i="2"/>
  <c r="F192" i="4"/>
  <c r="H186" i="2" s="1"/>
  <c r="F100" i="4"/>
  <c r="H101" i="2" s="1"/>
  <c r="F153" i="4"/>
  <c r="H151" i="2" s="1"/>
  <c r="F89" i="4"/>
  <c r="H90" i="2" s="1"/>
  <c r="F90" i="4"/>
  <c r="H91" i="2" s="1"/>
  <c r="F125" i="4"/>
  <c r="H124" i="2" s="1"/>
  <c r="F157" i="4"/>
  <c r="F21" i="4"/>
  <c r="H19" i="2" s="1"/>
  <c r="F166" i="4"/>
  <c r="H158" i="2"/>
  <c r="F2" i="4"/>
  <c r="H5" i="2" s="1"/>
  <c r="F105" i="4"/>
  <c r="H106" i="2" s="1"/>
  <c r="F106" i="4"/>
  <c r="H107" i="2" s="1"/>
  <c r="F140" i="4"/>
  <c r="H133" i="2" s="1"/>
  <c r="F68" i="4"/>
  <c r="H64" i="2" s="1"/>
  <c r="F173" i="4"/>
  <c r="H173" i="2" s="1"/>
  <c r="F69" i="4"/>
  <c r="H72" i="2" s="1"/>
  <c r="F23" i="4"/>
  <c r="H23" i="2" s="1"/>
  <c r="F91" i="4"/>
  <c r="H88" i="2" s="1"/>
  <c r="F174" i="4"/>
  <c r="H169" i="2" s="1"/>
  <c r="F82" i="4"/>
  <c r="H85" i="2" s="1"/>
  <c r="F175" i="4"/>
  <c r="H171" i="2" s="1"/>
  <c r="F70" i="4"/>
  <c r="H65" i="2" s="1"/>
  <c r="F179" i="4"/>
  <c r="H180" i="2" s="1"/>
  <c r="F126" i="4"/>
  <c r="H126" i="2" s="1"/>
  <c r="F141" i="4"/>
  <c r="H131" i="2" s="1"/>
  <c r="F184" i="4"/>
  <c r="H183" i="2" s="1"/>
  <c r="F83" i="4"/>
  <c r="H82" i="2" s="1"/>
  <c r="F101" i="4"/>
  <c r="H96" i="2" s="1"/>
  <c r="F74" i="4"/>
  <c r="H73" i="2" s="1"/>
  <c r="F3" i="4"/>
  <c r="H3" i="2" s="1"/>
  <c r="F4" i="4"/>
  <c r="H6" i="2" s="1"/>
  <c r="F107" i="4"/>
  <c r="H103" i="2" s="1"/>
  <c r="F8" i="4"/>
  <c r="H8" i="2" s="1"/>
  <c r="F38" i="4"/>
  <c r="H38" i="2" s="1"/>
  <c r="F27" i="4"/>
  <c r="H27" i="2" s="1"/>
  <c r="F84" i="4"/>
  <c r="H83" i="2" s="1"/>
  <c r="F85" i="4"/>
  <c r="H80" i="2" s="1"/>
  <c r="F108" i="4"/>
  <c r="H102" i="2" s="1"/>
  <c r="F92" i="4"/>
  <c r="H89" i="2" s="1"/>
  <c r="F5" i="4"/>
  <c r="H4" i="2" s="1"/>
  <c r="F176" i="4"/>
  <c r="H168" i="2" s="1"/>
  <c r="F77" i="4"/>
  <c r="H76" i="2" s="1"/>
  <c r="F57" i="4"/>
  <c r="H57" i="2" s="1"/>
  <c r="F36" i="4"/>
  <c r="H36" i="2" s="1"/>
  <c r="F86" i="4"/>
  <c r="H86" i="2" s="1"/>
  <c r="F37" i="4"/>
  <c r="H37" i="2" s="1"/>
  <c r="F6" i="4"/>
  <c r="H2" i="2" s="1"/>
  <c r="F17" i="4"/>
  <c r="H17" i="2" s="1"/>
  <c r="F180" i="4"/>
  <c r="H179" i="2" s="1"/>
  <c r="F94" i="4"/>
  <c r="H94" i="2" s="1"/>
  <c r="F87" i="4"/>
  <c r="H84" i="2" s="1"/>
  <c r="F30" i="4"/>
  <c r="H30" i="2" s="1"/>
  <c r="F35" i="4"/>
  <c r="H35" i="2" s="1"/>
  <c r="F24" i="4"/>
  <c r="H24" i="2" s="1"/>
  <c r="F71" i="4"/>
  <c r="H68" i="2" s="1"/>
  <c r="F72" i="4"/>
  <c r="H63" i="2" s="1"/>
  <c r="F49" i="4"/>
  <c r="H49" i="2" s="1"/>
  <c r="F39" i="4"/>
  <c r="H39" i="2" s="1"/>
  <c r="F48" i="4"/>
  <c r="H48" i="2" s="1"/>
  <c r="F40" i="4"/>
  <c r="H40" i="2" s="1"/>
  <c r="F53" i="4"/>
  <c r="H53" i="2" s="1"/>
  <c r="F42" i="4"/>
  <c r="H42" i="2" s="1"/>
  <c r="F54" i="4"/>
  <c r="H54" i="2" s="1"/>
  <c r="F43" i="4"/>
  <c r="H43" i="2" s="1"/>
  <c r="F52" i="4"/>
  <c r="H52" i="2" s="1"/>
  <c r="F44" i="4"/>
  <c r="H44" i="2" s="1"/>
  <c r="F55" i="4"/>
  <c r="H55" i="2" s="1"/>
  <c r="F41" i="4"/>
  <c r="H41" i="2" s="1"/>
  <c r="F7" i="4"/>
  <c r="H7" i="2" s="1"/>
  <c r="F56" i="4"/>
  <c r="H56" i="2" s="1"/>
  <c r="F25" i="4"/>
  <c r="H25" i="2" s="1"/>
  <c r="F26" i="4"/>
  <c r="H26" i="2" s="1"/>
  <c r="F167" i="4"/>
  <c r="H161" i="2" s="1"/>
  <c r="F16" i="4"/>
  <c r="H9" i="2" s="1"/>
  <c r="F117" i="3"/>
  <c r="G117" i="2" s="1"/>
  <c r="F111" i="3"/>
  <c r="G111" i="2" s="1"/>
  <c r="F125" i="3"/>
  <c r="F165" i="3"/>
  <c r="G165" i="2" s="1"/>
  <c r="F119" i="3"/>
  <c r="F135" i="3"/>
  <c r="G135" i="2" s="1"/>
  <c r="F109" i="3"/>
  <c r="G109" i="2" s="1"/>
  <c r="F18" i="3"/>
  <c r="F21" i="3"/>
  <c r="F20" i="3"/>
  <c r="G20" i="2" s="1"/>
  <c r="F97" i="3"/>
  <c r="G97" i="2" s="1"/>
  <c r="F10" i="3"/>
  <c r="G11" i="2" s="1"/>
  <c r="F28" i="3"/>
  <c r="F136" i="3"/>
  <c r="F9" i="3"/>
  <c r="G10" i="2" s="1"/>
  <c r="F147" i="3"/>
  <c r="G147" i="2" s="1"/>
  <c r="F118" i="3"/>
  <c r="F120" i="3"/>
  <c r="G120" i="2" s="1"/>
  <c r="F140" i="3"/>
  <c r="F192" i="3"/>
  <c r="G192" i="2" s="1"/>
  <c r="F46" i="3"/>
  <c r="G46" i="2" s="1"/>
  <c r="F47" i="3"/>
  <c r="F170" i="3"/>
  <c r="G170" i="2" s="1"/>
  <c r="F58" i="3"/>
  <c r="G58" i="2" s="1"/>
  <c r="F112" i="3"/>
  <c r="G112" i="2" s="1"/>
  <c r="F122" i="3"/>
  <c r="G122" i="2" s="1"/>
  <c r="F167" i="3"/>
  <c r="F33" i="3"/>
  <c r="G33" i="2" s="1"/>
  <c r="F162" i="3"/>
  <c r="G162" i="2" s="1"/>
  <c r="F132" i="3"/>
  <c r="G132" i="2" s="1"/>
  <c r="F32" i="3"/>
  <c r="G32" i="2" s="1"/>
  <c r="F113" i="3"/>
  <c r="G113" i="2" s="1"/>
  <c r="F146" i="3"/>
  <c r="G146" i="2" s="1"/>
  <c r="F159" i="3"/>
  <c r="G159" i="2" s="1"/>
  <c r="F164" i="3"/>
  <c r="G164" i="2" s="1"/>
  <c r="F128" i="3"/>
  <c r="G128" i="2" s="1"/>
  <c r="F138" i="3"/>
  <c r="G138" i="2" s="1"/>
  <c r="F145" i="3"/>
  <c r="G145" i="2"/>
  <c r="F141" i="3"/>
  <c r="F50" i="3"/>
  <c r="F129" i="3"/>
  <c r="G129" i="2" s="1"/>
  <c r="F59" i="3"/>
  <c r="G59" i="2" s="1"/>
  <c r="F177" i="3"/>
  <c r="G177" i="2" s="1"/>
  <c r="F93" i="3"/>
  <c r="G93" i="2" s="1"/>
  <c r="F100" i="3"/>
  <c r="G100" i="2" s="1"/>
  <c r="F31" i="3"/>
  <c r="F34" i="3"/>
  <c r="G34" i="2" s="1"/>
  <c r="F95" i="3"/>
  <c r="F143" i="3"/>
  <c r="G143" i="2" s="1"/>
  <c r="F13" i="3"/>
  <c r="G13" i="2" s="1"/>
  <c r="F160" i="3"/>
  <c r="F29" i="3"/>
  <c r="G29" i="2" s="1"/>
  <c r="F142" i="3"/>
  <c r="G142" i="2" s="1"/>
  <c r="F155" i="3"/>
  <c r="F81" i="3"/>
  <c r="G81" i="2" s="1"/>
  <c r="F60" i="3"/>
  <c r="G60" i="2" s="1"/>
  <c r="F14" i="3"/>
  <c r="G14" i="2" s="1"/>
  <c r="F74" i="3"/>
  <c r="G74" i="2" s="1"/>
  <c r="F178" i="3"/>
  <c r="G178" i="2" s="1"/>
  <c r="F154" i="3"/>
  <c r="G154" i="2" s="1"/>
  <c r="F153" i="3"/>
  <c r="F163" i="3"/>
  <c r="G163" i="2" s="1"/>
  <c r="F15" i="3"/>
  <c r="F127" i="3"/>
  <c r="G127" i="2" s="1"/>
  <c r="F144" i="3"/>
  <c r="G144" i="2" s="1"/>
  <c r="F61" i="3"/>
  <c r="G61" i="2" s="1"/>
  <c r="F115" i="3"/>
  <c r="G115" i="2" s="1"/>
  <c r="F130" i="3"/>
  <c r="F51" i="3"/>
  <c r="G51" i="2" s="1"/>
  <c r="F16" i="3"/>
  <c r="G16" i="2" s="1"/>
  <c r="F123" i="3"/>
  <c r="G123" i="2" s="1"/>
  <c r="F174" i="3"/>
  <c r="G174" i="2" s="1"/>
  <c r="F150" i="3"/>
  <c r="G150" i="2" s="1"/>
  <c r="F67" i="3"/>
  <c r="F66" i="3"/>
  <c r="G66" i="2" s="1"/>
  <c r="F175" i="3"/>
  <c r="G175" i="2" s="1"/>
  <c r="F71" i="3"/>
  <c r="G71" i="2" s="1"/>
  <c r="F75" i="3"/>
  <c r="G75" i="2" s="1"/>
  <c r="F45" i="3"/>
  <c r="F191" i="3"/>
  <c r="G191" i="2" s="1"/>
  <c r="F12" i="3"/>
  <c r="G12" i="2" s="1"/>
  <c r="F79" i="3"/>
  <c r="G79" i="2"/>
  <c r="F92" i="3"/>
  <c r="G92" i="2" s="1"/>
  <c r="F121" i="3"/>
  <c r="G121" i="2" s="1"/>
  <c r="F188" i="3"/>
  <c r="G188" i="2" s="1"/>
  <c r="F98" i="3"/>
  <c r="F187" i="3"/>
  <c r="G187" i="2" s="1"/>
  <c r="F70" i="3"/>
  <c r="F77" i="3"/>
  <c r="F184" i="3"/>
  <c r="F189" i="3"/>
  <c r="G189" i="2" s="1"/>
  <c r="F148" i="3"/>
  <c r="G148" i="2" s="1"/>
  <c r="F157" i="3"/>
  <c r="G157" i="2" s="1"/>
  <c r="F134" i="3"/>
  <c r="F185" i="3"/>
  <c r="G185" i="2" s="1"/>
  <c r="F166" i="3"/>
  <c r="G166" i="2" s="1"/>
  <c r="F182" i="3"/>
  <c r="G182" i="2" s="1"/>
  <c r="F22" i="3"/>
  <c r="G22" i="2" s="1"/>
  <c r="F152" i="3"/>
  <c r="G152" i="2" s="1"/>
  <c r="F116" i="3"/>
  <c r="G116" i="2" s="1"/>
  <c r="F69" i="3"/>
  <c r="F137" i="3"/>
  <c r="G137" i="2" s="1"/>
  <c r="F87" i="3"/>
  <c r="F99" i="3"/>
  <c r="F176" i="3"/>
  <c r="G176" i="2" s="1"/>
  <c r="F110" i="3"/>
  <c r="G110" i="2" s="1"/>
  <c r="F114" i="3"/>
  <c r="G114" i="2" s="1"/>
  <c r="F108" i="3"/>
  <c r="G108" i="2" s="1"/>
  <c r="F149" i="3"/>
  <c r="G149" i="2" s="1"/>
  <c r="F105" i="3"/>
  <c r="G105" i="2" s="1"/>
  <c r="F181" i="3"/>
  <c r="G181" i="2" s="1"/>
  <c r="F193" i="3"/>
  <c r="G193" i="2" s="1"/>
  <c r="F190" i="3"/>
  <c r="F172" i="3"/>
  <c r="G172" i="2" s="1"/>
  <c r="F62" i="3"/>
  <c r="F139" i="3"/>
  <c r="G139" i="2" s="1"/>
  <c r="F104" i="3"/>
  <c r="G104" i="2" s="1"/>
  <c r="F78" i="3"/>
  <c r="G78" i="2"/>
  <c r="F186" i="3"/>
  <c r="G186" i="2" s="1"/>
  <c r="F101" i="3"/>
  <c r="G101" i="2" s="1"/>
  <c r="F151" i="3"/>
  <c r="F90" i="3"/>
  <c r="G90" i="2" s="1"/>
  <c r="F91" i="3"/>
  <c r="G91" i="2" s="1"/>
  <c r="F124" i="3"/>
  <c r="G124" i="2" s="1"/>
  <c r="F156" i="3"/>
  <c r="G156" i="2" s="1"/>
  <c r="F19" i="3"/>
  <c r="F158" i="3"/>
  <c r="G158" i="2" s="1"/>
  <c r="F5" i="3"/>
  <c r="G5" i="2" s="1"/>
  <c r="F106" i="3"/>
  <c r="G106" i="2" s="1"/>
  <c r="F107" i="3"/>
  <c r="G107" i="2" s="1"/>
  <c r="F133" i="3"/>
  <c r="G133" i="2" s="1"/>
  <c r="F64" i="3"/>
  <c r="G64" i="2" s="1"/>
  <c r="F173" i="3"/>
  <c r="F72" i="3"/>
  <c r="F23" i="3"/>
  <c r="G23" i="2" s="1"/>
  <c r="F88" i="3"/>
  <c r="G88" i="2"/>
  <c r="F169" i="3"/>
  <c r="F85" i="3"/>
  <c r="G85" i="2" s="1"/>
  <c r="F171" i="3"/>
  <c r="G171" i="2" s="1"/>
  <c r="F65" i="3"/>
  <c r="G65" i="2" s="1"/>
  <c r="F180" i="3"/>
  <c r="G180" i="2" s="1"/>
  <c r="F126" i="3"/>
  <c r="G126" i="2" s="1"/>
  <c r="F131" i="3"/>
  <c r="G131" i="2" s="1"/>
  <c r="F183" i="3"/>
  <c r="G183" i="2" s="1"/>
  <c r="F82" i="3"/>
  <c r="G82" i="2" s="1"/>
  <c r="F96" i="3"/>
  <c r="G96" i="2" s="1"/>
  <c r="F73" i="3"/>
  <c r="G73" i="2" s="1"/>
  <c r="F3" i="3"/>
  <c r="G3" i="2" s="1"/>
  <c r="F6" i="3"/>
  <c r="G6" i="2" s="1"/>
  <c r="F103" i="3"/>
  <c r="G103" i="2" s="1"/>
  <c r="F8" i="3"/>
  <c r="F38" i="3"/>
  <c r="G38" i="2" s="1"/>
  <c r="F27" i="3"/>
  <c r="G27" i="2" s="1"/>
  <c r="F83" i="3"/>
  <c r="G83" i="2" s="1"/>
  <c r="F80" i="3"/>
  <c r="G80" i="2" s="1"/>
  <c r="F102" i="3"/>
  <c r="G102" i="2"/>
  <c r="F89" i="3"/>
  <c r="G89" i="2"/>
  <c r="F4" i="3"/>
  <c r="G4" i="2" s="1"/>
  <c r="F168" i="3"/>
  <c r="F76" i="3"/>
  <c r="G76" i="2" s="1"/>
  <c r="F57" i="3"/>
  <c r="G57" i="2" s="1"/>
  <c r="F36" i="3"/>
  <c r="G36" i="2" s="1"/>
  <c r="F86" i="3"/>
  <c r="G86" i="2" s="1"/>
  <c r="F37" i="3"/>
  <c r="G37" i="2" s="1"/>
  <c r="F2" i="3"/>
  <c r="G2" i="2" s="1"/>
  <c r="F17" i="3"/>
  <c r="G17" i="2" s="1"/>
  <c r="F179" i="3"/>
  <c r="G179" i="2" s="1"/>
  <c r="F94" i="3"/>
  <c r="G94" i="2" s="1"/>
  <c r="F84" i="3"/>
  <c r="G84" i="2" s="1"/>
  <c r="F30" i="3"/>
  <c r="G30" i="2" s="1"/>
  <c r="F35" i="3"/>
  <c r="F24" i="3"/>
  <c r="G24" i="2" s="1"/>
  <c r="F68" i="3"/>
  <c r="F63" i="3"/>
  <c r="G63" i="2" s="1"/>
  <c r="F49" i="3"/>
  <c r="G49" i="2" s="1"/>
  <c r="F39" i="3"/>
  <c r="G39" i="2" s="1"/>
  <c r="F48" i="3"/>
  <c r="G48" i="2" s="1"/>
  <c r="F40" i="3"/>
  <c r="F53" i="3"/>
  <c r="F42" i="3"/>
  <c r="G42" i="2" s="1"/>
  <c r="F54" i="3"/>
  <c r="G54" i="2" s="1"/>
  <c r="F43" i="3"/>
  <c r="G43" i="2" s="1"/>
  <c r="F52" i="3"/>
  <c r="G52" i="2" s="1"/>
  <c r="F44" i="3"/>
  <c r="G44" i="2" s="1"/>
  <c r="F55" i="3"/>
  <c r="G55" i="2" s="1"/>
  <c r="F41" i="3"/>
  <c r="F7" i="3"/>
  <c r="G7" i="2" s="1"/>
  <c r="F56" i="3"/>
  <c r="G56" i="2" s="1"/>
  <c r="F25" i="3"/>
  <c r="G25" i="2" s="1"/>
  <c r="F26" i="3"/>
  <c r="F161" i="3"/>
  <c r="G161" i="2" s="1"/>
  <c r="F11" i="3"/>
  <c r="I93" i="2"/>
  <c r="I78" i="2"/>
  <c r="I158" i="2"/>
  <c r="J93" i="2"/>
  <c r="J154" i="2"/>
  <c r="J78" i="2"/>
  <c r="J102" i="2"/>
  <c r="J89" i="2"/>
  <c r="K93" i="2"/>
  <c r="K78" i="2"/>
  <c r="K89" i="2"/>
  <c r="L117" i="2"/>
  <c r="L111" i="2"/>
  <c r="L125" i="2"/>
  <c r="L135" i="2"/>
  <c r="L20" i="2"/>
  <c r="L11" i="2"/>
  <c r="L10" i="2"/>
  <c r="L147" i="2"/>
  <c r="L118" i="2"/>
  <c r="L120" i="2"/>
  <c r="L162" i="2"/>
  <c r="L32" i="2"/>
  <c r="L145" i="2"/>
  <c r="L100" i="2"/>
  <c r="L34" i="2"/>
  <c r="L95" i="2"/>
  <c r="L178" i="2"/>
  <c r="L154" i="2"/>
  <c r="L123" i="2"/>
  <c r="L150" i="2"/>
  <c r="L71" i="2"/>
  <c r="L12" i="2"/>
  <c r="L188" i="2"/>
  <c r="L187" i="2"/>
  <c r="L70" i="2"/>
  <c r="L77" i="2"/>
  <c r="L134" i="2"/>
  <c r="L152" i="2"/>
  <c r="L87" i="2"/>
  <c r="L108" i="2"/>
  <c r="L190" i="2"/>
  <c r="L139" i="2"/>
  <c r="L90" i="2"/>
  <c r="L158" i="2"/>
  <c r="L106" i="2"/>
  <c r="L107" i="2"/>
  <c r="L88" i="2"/>
  <c r="L180" i="2"/>
  <c r="L183" i="2"/>
  <c r="L103" i="2"/>
  <c r="L8" i="2"/>
  <c r="L4" i="2"/>
  <c r="L37" i="2"/>
  <c r="L84" i="2"/>
  <c r="L35" i="2"/>
  <c r="L24" i="2"/>
  <c r="L40" i="2"/>
  <c r="L52" i="2"/>
  <c r="L41" i="2"/>
  <c r="L56" i="2"/>
  <c r="L9" i="2"/>
  <c r="M125" i="2"/>
  <c r="M18" i="2"/>
  <c r="M10" i="2"/>
  <c r="M147" i="2"/>
  <c r="M118" i="2"/>
  <c r="M140" i="2"/>
  <c r="M32" i="2"/>
  <c r="M113" i="2"/>
  <c r="M146" i="2"/>
  <c r="M145" i="2"/>
  <c r="M100" i="2"/>
  <c r="M31" i="2"/>
  <c r="M29" i="2"/>
  <c r="M14" i="2"/>
  <c r="M154" i="2"/>
  <c r="M153" i="2"/>
  <c r="M123" i="2"/>
  <c r="M174" i="2"/>
  <c r="M66" i="2"/>
  <c r="M188" i="2"/>
  <c r="M98" i="2"/>
  <c r="M77" i="2"/>
  <c r="M137" i="2"/>
  <c r="M87" i="2"/>
  <c r="M172" i="2"/>
  <c r="M62" i="2"/>
  <c r="M139" i="2"/>
  <c r="M104" i="2"/>
  <c r="M90" i="2"/>
  <c r="M133" i="2"/>
  <c r="M88" i="2"/>
  <c r="M180" i="2"/>
  <c r="M183" i="2"/>
  <c r="M82" i="2"/>
  <c r="M89" i="2"/>
  <c r="M35" i="2"/>
  <c r="M24" i="2"/>
  <c r="M68" i="2"/>
  <c r="M55" i="2"/>
  <c r="M41" i="2"/>
  <c r="N170" i="2"/>
  <c r="N58" i="2"/>
  <c r="N162" i="2"/>
  <c r="N132" i="2"/>
  <c r="N113" i="2"/>
  <c r="N74" i="2"/>
  <c r="N116" i="2"/>
  <c r="N137" i="2"/>
  <c r="N158" i="2"/>
  <c r="N5" i="2"/>
  <c r="N107" i="2"/>
  <c r="N72" i="2"/>
  <c r="N168" i="2"/>
  <c r="N84" i="2"/>
  <c r="N30" i="2"/>
  <c r="N26" i="2"/>
  <c r="N161" i="2"/>
  <c r="N9" i="2"/>
  <c r="O119" i="2"/>
  <c r="O135" i="2"/>
  <c r="O109" i="2"/>
  <c r="O18" i="2"/>
  <c r="O21" i="2"/>
  <c r="O20" i="2"/>
  <c r="O140" i="2"/>
  <c r="O192" i="2"/>
  <c r="O46" i="2"/>
  <c r="O47" i="2"/>
  <c r="O170" i="2"/>
  <c r="O58" i="2"/>
  <c r="O146" i="2"/>
  <c r="O159" i="2"/>
  <c r="O164" i="2"/>
  <c r="O145" i="2"/>
  <c r="O34" i="2"/>
  <c r="O153" i="2"/>
  <c r="O61" i="2"/>
  <c r="O66" i="2"/>
  <c r="O175" i="2"/>
  <c r="O191" i="2"/>
  <c r="O77" i="2"/>
  <c r="O184" i="2"/>
  <c r="O134" i="2"/>
  <c r="O87" i="2"/>
  <c r="O99" i="2"/>
  <c r="O108" i="2"/>
  <c r="O104" i="2"/>
  <c r="O90" i="2"/>
  <c r="O133" i="2"/>
  <c r="O88" i="2"/>
  <c r="O103" i="2"/>
  <c r="O168" i="2"/>
  <c r="O37" i="2"/>
  <c r="O68" i="2"/>
  <c r="O40" i="2"/>
  <c r="O7" i="2"/>
  <c r="O56" i="2"/>
  <c r="O9" i="2"/>
  <c r="P117" i="2"/>
  <c r="P111" i="2"/>
  <c r="P125" i="2"/>
  <c r="P165" i="2"/>
  <c r="P119" i="2"/>
  <c r="P10" i="2"/>
  <c r="P147" i="2"/>
  <c r="P118" i="2"/>
  <c r="P120" i="2"/>
  <c r="P140" i="2"/>
  <c r="P46" i="2"/>
  <c r="P167" i="2"/>
  <c r="P162" i="2"/>
  <c r="P132" i="2"/>
  <c r="P113" i="2"/>
  <c r="P146" i="2"/>
  <c r="P177" i="2"/>
  <c r="P93" i="2"/>
  <c r="P31" i="2"/>
  <c r="P34" i="2"/>
  <c r="P14" i="2"/>
  <c r="P74" i="2"/>
  <c r="P154" i="2"/>
  <c r="P153" i="2"/>
  <c r="P123" i="2"/>
  <c r="P174" i="2"/>
  <c r="P67" i="2"/>
  <c r="P66" i="2"/>
  <c r="P188" i="2"/>
  <c r="P98" i="2"/>
  <c r="P70" i="2"/>
  <c r="P77" i="2"/>
  <c r="P152" i="2"/>
  <c r="P116" i="2"/>
  <c r="P137" i="2"/>
  <c r="P87" i="2"/>
  <c r="P190" i="2"/>
  <c r="P139" i="2"/>
  <c r="P186" i="2"/>
  <c r="P158" i="2"/>
  <c r="P5" i="2"/>
  <c r="P133" i="2"/>
  <c r="P183" i="2"/>
  <c r="P82" i="2"/>
  <c r="P80" i="2"/>
  <c r="P102" i="2"/>
  <c r="P4" i="2"/>
  <c r="P168" i="2"/>
  <c r="P76" i="2"/>
  <c r="P84" i="2"/>
  <c r="P24" i="2"/>
  <c r="P68" i="2"/>
  <c r="P52" i="2"/>
  <c r="P44" i="2"/>
  <c r="P41" i="2"/>
  <c r="P7" i="2"/>
  <c r="Q117" i="2"/>
  <c r="Q111" i="2"/>
  <c r="Q125" i="2"/>
  <c r="Q119" i="2"/>
  <c r="Q10" i="2"/>
  <c r="Q147" i="2"/>
  <c r="Q118" i="2"/>
  <c r="Q162" i="2"/>
  <c r="Q132" i="2"/>
  <c r="Q32" i="2"/>
  <c r="Q113" i="2"/>
  <c r="Q177" i="2"/>
  <c r="Q93" i="2"/>
  <c r="Q100" i="2"/>
  <c r="Q34" i="2"/>
  <c r="Q14" i="2"/>
  <c r="Q74" i="2"/>
  <c r="Q178" i="2"/>
  <c r="Q154" i="2"/>
  <c r="Q123" i="2"/>
  <c r="Q174" i="2"/>
  <c r="Q150" i="2"/>
  <c r="Q67" i="2"/>
  <c r="Q98" i="2"/>
  <c r="Q187" i="2"/>
  <c r="Q77" i="2"/>
  <c r="Q152" i="2"/>
  <c r="Q116" i="2"/>
  <c r="Q190" i="2"/>
  <c r="Q172" i="2"/>
  <c r="Q62" i="2"/>
  <c r="Q139" i="2"/>
  <c r="Q104" i="2"/>
  <c r="Q78" i="2"/>
  <c r="Q158" i="2"/>
  <c r="Q126" i="2"/>
  <c r="Q80" i="2"/>
  <c r="Q102" i="2"/>
  <c r="Q89" i="2"/>
  <c r="Q84" i="2"/>
  <c r="Q30" i="2"/>
  <c r="Q35" i="2"/>
  <c r="Q52" i="2"/>
  <c r="Q44" i="2"/>
  <c r="Q55" i="2"/>
  <c r="R117" i="2"/>
  <c r="R165" i="2"/>
  <c r="R10" i="2"/>
  <c r="S117" i="2"/>
  <c r="S111" i="2"/>
  <c r="S165" i="2"/>
  <c r="S119" i="2"/>
  <c r="S135" i="2"/>
  <c r="S109" i="2"/>
  <c r="S20" i="2"/>
  <c r="S97" i="2"/>
  <c r="S11" i="2"/>
  <c r="S10" i="2"/>
  <c r="S147" i="2"/>
  <c r="S120" i="2"/>
  <c r="S140" i="2"/>
  <c r="S192" i="2"/>
  <c r="S162" i="2"/>
  <c r="S132" i="2"/>
  <c r="S32" i="2"/>
  <c r="S113" i="2"/>
  <c r="S146" i="2"/>
  <c r="S159" i="2"/>
  <c r="S177" i="2"/>
  <c r="S93" i="2"/>
  <c r="S31" i="2"/>
  <c r="S34" i="2"/>
  <c r="S95" i="2"/>
  <c r="S14" i="2"/>
  <c r="S74" i="2"/>
  <c r="S178" i="2"/>
  <c r="S154" i="2"/>
  <c r="S153" i="2"/>
  <c r="S163" i="2"/>
  <c r="S15" i="2"/>
  <c r="S61" i="2"/>
  <c r="S123" i="2"/>
  <c r="S174" i="2"/>
  <c r="S67" i="2"/>
  <c r="S66" i="2"/>
  <c r="S175" i="2"/>
  <c r="S188" i="2"/>
  <c r="S98" i="2"/>
  <c r="S187" i="2"/>
  <c r="S70" i="2"/>
  <c r="S77" i="2"/>
  <c r="S184" i="2"/>
  <c r="S152" i="2"/>
  <c r="S116" i="2"/>
  <c r="S137" i="2"/>
  <c r="S87" i="2"/>
  <c r="S99" i="2"/>
  <c r="S176" i="2"/>
  <c r="S110" i="2"/>
  <c r="S108" i="2"/>
  <c r="S190" i="2"/>
  <c r="S172" i="2"/>
  <c r="S62" i="2"/>
  <c r="S139" i="2"/>
  <c r="S104" i="2"/>
  <c r="S78" i="2"/>
  <c r="S158" i="2"/>
  <c r="S5" i="2"/>
  <c r="S106" i="2"/>
  <c r="S107" i="2"/>
  <c r="S133" i="2"/>
  <c r="S64" i="2"/>
  <c r="S88" i="2"/>
  <c r="S169" i="2"/>
  <c r="S180" i="2"/>
  <c r="S126" i="2"/>
  <c r="S131" i="2"/>
  <c r="S183" i="2"/>
  <c r="S82" i="2"/>
  <c r="S96" i="2"/>
  <c r="S80" i="2"/>
  <c r="S102" i="2"/>
  <c r="S89" i="2"/>
  <c r="S4" i="2"/>
  <c r="S168" i="2"/>
  <c r="S76" i="2"/>
  <c r="S57" i="2"/>
  <c r="S84" i="2"/>
  <c r="S30" i="2"/>
  <c r="S24" i="2"/>
  <c r="S68" i="2"/>
  <c r="S63" i="2"/>
  <c r="S49" i="2"/>
  <c r="S40" i="2"/>
  <c r="S53" i="2"/>
  <c r="S52" i="2"/>
  <c r="S44" i="2"/>
  <c r="S55" i="2"/>
  <c r="S41" i="2"/>
  <c r="S7" i="2"/>
  <c r="S56" i="2"/>
  <c r="T125" i="2"/>
  <c r="T165" i="2"/>
  <c r="T119" i="2"/>
  <c r="T135" i="2"/>
  <c r="T109" i="2"/>
  <c r="T10" i="2"/>
  <c r="T147" i="2"/>
  <c r="T118" i="2"/>
  <c r="T120" i="2"/>
  <c r="T140" i="2"/>
  <c r="T46" i="2"/>
  <c r="T58" i="2"/>
  <c r="T162" i="2"/>
  <c r="T113" i="2"/>
  <c r="T146" i="2"/>
  <c r="T93" i="2"/>
  <c r="T100" i="2"/>
  <c r="T95" i="2"/>
  <c r="T29" i="2"/>
  <c r="T74" i="2"/>
  <c r="T178" i="2"/>
  <c r="T154" i="2"/>
  <c r="T153" i="2"/>
  <c r="T123" i="2"/>
  <c r="T67" i="2"/>
  <c r="T66" i="2"/>
  <c r="T191" i="2"/>
  <c r="T188" i="2"/>
  <c r="T98" i="2"/>
  <c r="T187" i="2"/>
  <c r="T70" i="2"/>
  <c r="T77" i="2"/>
  <c r="T134" i="2"/>
  <c r="T69" i="2"/>
  <c r="T99" i="2"/>
  <c r="T190" i="2"/>
  <c r="T172" i="2"/>
  <c r="T62" i="2"/>
  <c r="T104" i="2"/>
  <c r="T78" i="2"/>
  <c r="T90" i="2"/>
  <c r="T106" i="2"/>
  <c r="T88" i="2"/>
  <c r="T180" i="2"/>
  <c r="T126" i="2"/>
  <c r="T131" i="2"/>
  <c r="T82" i="2"/>
  <c r="T96" i="2"/>
  <c r="T103" i="2"/>
  <c r="T102" i="2"/>
  <c r="T168" i="2"/>
  <c r="T37" i="2"/>
  <c r="T84" i="2"/>
  <c r="T30" i="2"/>
  <c r="T35" i="2"/>
  <c r="T24" i="2"/>
  <c r="T68" i="2"/>
  <c r="T40" i="2"/>
  <c r="T52" i="2"/>
  <c r="T41" i="2"/>
  <c r="T7" i="2"/>
  <c r="U120" i="2"/>
  <c r="U162" i="2"/>
  <c r="U32" i="2"/>
  <c r="U113" i="2"/>
  <c r="U178" i="2"/>
  <c r="U154" i="2"/>
  <c r="U174" i="2"/>
  <c r="U150" i="2"/>
  <c r="U67" i="2"/>
  <c r="U172" i="2"/>
  <c r="U139" i="2"/>
  <c r="U80" i="2"/>
  <c r="U4" i="2"/>
  <c r="U24" i="2"/>
  <c r="V119" i="2"/>
  <c r="V140" i="2"/>
  <c r="V192" i="2"/>
  <c r="V58" i="2"/>
  <c r="V146" i="2"/>
  <c r="V34" i="2"/>
  <c r="V95" i="2"/>
  <c r="V29" i="2"/>
  <c r="V153" i="2"/>
  <c r="V163" i="2"/>
  <c r="V66" i="2"/>
  <c r="V77" i="2"/>
  <c r="V184" i="2"/>
  <c r="V87" i="2"/>
  <c r="V104" i="2"/>
  <c r="V78" i="2"/>
  <c r="V133" i="2"/>
  <c r="V82" i="2"/>
  <c r="V96" i="2"/>
  <c r="V168" i="2"/>
  <c r="V68" i="2"/>
  <c r="V7" i="2"/>
  <c r="V56" i="2"/>
  <c r="V9" i="2"/>
  <c r="W117" i="2"/>
  <c r="W111" i="2"/>
  <c r="W125" i="2"/>
  <c r="W165" i="2"/>
  <c r="W10" i="2"/>
  <c r="W147" i="2"/>
  <c r="W118" i="2"/>
  <c r="W120" i="2"/>
  <c r="W140" i="2"/>
  <c r="W162" i="2"/>
  <c r="W113" i="2"/>
  <c r="W146" i="2"/>
  <c r="W159" i="2"/>
  <c r="W177" i="2"/>
  <c r="W31" i="2"/>
  <c r="W34" i="2"/>
  <c r="W14" i="2"/>
  <c r="W74" i="2"/>
  <c r="W178" i="2"/>
  <c r="W154" i="2"/>
  <c r="W153" i="2"/>
  <c r="W163" i="2"/>
  <c r="W123" i="2"/>
  <c r="W174" i="2"/>
  <c r="W150" i="2"/>
  <c r="W67" i="2"/>
  <c r="W188" i="2"/>
  <c r="W70" i="2"/>
  <c r="W77" i="2"/>
  <c r="W184" i="2"/>
  <c r="W152" i="2"/>
  <c r="W137" i="2"/>
  <c r="W87" i="2"/>
  <c r="W190" i="2"/>
  <c r="W172" i="2"/>
  <c r="W139" i="2"/>
  <c r="W5" i="2"/>
  <c r="W106" i="2"/>
  <c r="W107" i="2"/>
  <c r="W133" i="2"/>
  <c r="W126" i="2"/>
  <c r="W82" i="2"/>
  <c r="W102" i="2"/>
  <c r="W89" i="2"/>
  <c r="W4" i="2"/>
  <c r="W30" i="2"/>
  <c r="W35" i="2"/>
  <c r="W24" i="2"/>
  <c r="W68" i="2"/>
  <c r="W52" i="2"/>
  <c r="W55" i="2"/>
  <c r="F11" i="2" l="1"/>
  <c r="F82" i="2"/>
  <c r="F156" i="2"/>
  <c r="F59" i="2"/>
  <c r="F100" i="2"/>
  <c r="F49" i="2"/>
  <c r="F29" i="2"/>
  <c r="F9" i="2"/>
  <c r="F14" i="2"/>
  <c r="F151" i="2"/>
  <c r="F179" i="2"/>
  <c r="F40" i="2"/>
  <c r="F7" i="2"/>
  <c r="F32" i="2"/>
  <c r="F107" i="2"/>
  <c r="F35" i="2"/>
  <c r="F185" i="2"/>
  <c r="F4" i="2"/>
  <c r="F108" i="2"/>
  <c r="F125" i="2"/>
  <c r="F58" i="2"/>
  <c r="F16" i="2"/>
  <c r="F183" i="2"/>
  <c r="F178" i="2"/>
  <c r="F31" i="2"/>
  <c r="F124" i="2"/>
  <c r="F163" i="2"/>
  <c r="F103" i="2"/>
  <c r="F143" i="2"/>
  <c r="F117" i="2"/>
  <c r="F129" i="2"/>
  <c r="F46" i="2"/>
  <c r="F146" i="2"/>
  <c r="F113" i="2"/>
  <c r="F137" i="2"/>
  <c r="F25" i="2"/>
  <c r="F126" i="2"/>
  <c r="F141" i="2"/>
  <c r="F53" i="2"/>
  <c r="F41" i="2"/>
  <c r="F91" i="2"/>
  <c r="F15" i="2"/>
  <c r="F36" i="2"/>
  <c r="F96" i="2"/>
  <c r="F12" i="2"/>
  <c r="F136" i="2"/>
  <c r="F134" i="2"/>
  <c r="F3" i="2"/>
  <c r="F69" i="2"/>
  <c r="F153" i="2"/>
  <c r="F30" i="2"/>
  <c r="F62" i="2"/>
  <c r="F87" i="2"/>
  <c r="F175" i="2"/>
  <c r="F139" i="2"/>
  <c r="F81" i="2"/>
  <c r="F165" i="2"/>
  <c r="F180" i="2"/>
  <c r="F118" i="2"/>
  <c r="F5" i="2"/>
  <c r="F135" i="2"/>
  <c r="F131" i="2"/>
  <c r="F160" i="2"/>
  <c r="F45" i="2"/>
  <c r="F142" i="2"/>
  <c r="F23" i="2"/>
  <c r="F60" i="2"/>
  <c r="F173" i="2"/>
  <c r="F83" i="2"/>
  <c r="F37" i="2"/>
  <c r="F33" i="2"/>
  <c r="F104" i="2"/>
  <c r="F28" i="2"/>
  <c r="F24" i="2"/>
  <c r="F132" i="2"/>
  <c r="F105" i="2"/>
  <c r="F177" i="2"/>
  <c r="F80" i="2"/>
  <c r="F52" i="2"/>
  <c r="F51" i="2"/>
  <c r="F98" i="2"/>
  <c r="F92" i="2"/>
  <c r="F55" i="2"/>
  <c r="F43" i="2"/>
  <c r="F172" i="2"/>
  <c r="F152" i="2"/>
  <c r="F157" i="2"/>
  <c r="F17" i="2"/>
  <c r="F13" i="2"/>
  <c r="F18" i="2"/>
  <c r="F95" i="2"/>
  <c r="F86" i="2"/>
  <c r="F140" i="2"/>
  <c r="F120" i="2"/>
  <c r="F48" i="2"/>
  <c r="F171" i="2"/>
  <c r="F169" i="2"/>
  <c r="F57" i="2"/>
  <c r="F112" i="2"/>
  <c r="F159" i="2"/>
  <c r="F70" i="2"/>
  <c r="F56" i="2"/>
  <c r="F21" i="2"/>
  <c r="F109" i="2"/>
  <c r="F101" i="2"/>
  <c r="F2" i="2"/>
  <c r="F77" i="2"/>
  <c r="F170" i="2"/>
  <c r="F167" i="2"/>
  <c r="F64" i="2"/>
  <c r="F27" i="2"/>
  <c r="F22" i="2"/>
  <c r="F72" i="2"/>
  <c r="F174" i="2"/>
  <c r="F50" i="2"/>
  <c r="F20" i="2"/>
  <c r="F148" i="2"/>
  <c r="F182" i="2"/>
  <c r="F115" i="2"/>
  <c r="F123" i="2"/>
  <c r="F114" i="2"/>
  <c r="F150" i="2"/>
  <c r="F10" i="2"/>
  <c r="F116" i="2"/>
  <c r="F71" i="2"/>
  <c r="F54" i="2"/>
  <c r="F42" i="2"/>
  <c r="F68" i="2"/>
  <c r="F147" i="2"/>
  <c r="F138" i="2"/>
  <c r="F188" i="2"/>
  <c r="F6" i="2"/>
  <c r="F90" i="2"/>
  <c r="F94" i="2"/>
  <c r="F130" i="2"/>
  <c r="F186" i="2"/>
  <c r="F47" i="2"/>
  <c r="F176" i="2"/>
  <c r="F61" i="2"/>
  <c r="F184" i="2"/>
  <c r="F192" i="2"/>
  <c r="F106" i="2"/>
  <c r="F149" i="2"/>
  <c r="F99" i="2"/>
  <c r="F191" i="2"/>
  <c r="F74" i="2"/>
  <c r="F44" i="2"/>
  <c r="F39" i="2"/>
  <c r="F85" i="2"/>
  <c r="F190" i="2"/>
  <c r="F84" i="2"/>
  <c r="F189" i="2"/>
  <c r="F97" i="2"/>
  <c r="F19" i="2"/>
  <c r="F67" i="2"/>
  <c r="F66" i="2"/>
  <c r="F34" i="2"/>
  <c r="F166" i="2"/>
  <c r="F164" i="2"/>
  <c r="F65" i="2"/>
  <c r="F119" i="2"/>
  <c r="F8" i="2"/>
  <c r="F155" i="2"/>
  <c r="F26" i="2"/>
  <c r="F162" i="2"/>
  <c r="F187" i="2"/>
  <c r="F76" i="2"/>
  <c r="F168" i="2"/>
  <c r="F133" i="2"/>
  <c r="F161" i="2"/>
  <c r="F111" i="2"/>
  <c r="F88" i="2"/>
  <c r="F145" i="2"/>
  <c r="F75" i="2"/>
  <c r="F128" i="2"/>
  <c r="F73" i="2"/>
  <c r="F110" i="2"/>
  <c r="F127" i="2"/>
  <c r="F63" i="2"/>
  <c r="F78" i="2"/>
  <c r="F154" i="2"/>
  <c r="F89" i="2"/>
  <c r="F102" i="2"/>
  <c r="F93" i="2"/>
  <c r="F158" i="2"/>
  <c r="F193" i="2"/>
  <c r="F121" i="2"/>
  <c r="F181" i="2"/>
  <c r="F144" i="2"/>
  <c r="F38" i="2"/>
  <c r="F79" i="2"/>
  <c r="F1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stral Bar" description="Connection to the 'Astral Bar' query in the workbook." type="5" refreshedVersion="8" background="1" saveData="1">
    <dbPr connection="Provider=Microsoft.Mashup.OleDb.1;Data Source=$Workbook$;Location=&quot;Astral Bar&quot;;Extended Properties=&quot;&quot;" command="SELECT * FROM [Astral Bar]"/>
  </connection>
  <connection id="2" xr16:uid="{00000000-0015-0000-FFFF-FFFF01000000}" keepAlive="1" name="Query - Botanical Bar" description="Connection to the 'Botanical Bar' query in the workbook." type="5" refreshedVersion="8" background="1" saveData="1">
    <dbPr connection="Provider=Microsoft.Mashup.OleDb.1;Data Source=$Workbook$;Location=&quot;Botanical Bar&quot;;Extended Properties=&quot;&quot;" command="SELECT * FROM [Botanical Bar]"/>
  </connection>
  <connection id="3" xr16:uid="{00000000-0015-0000-FFFF-FFFF02000000}" keepAlive="1" name="Query - Botanical Storeroom" description="Connection to the 'Botanical Storeroom' query in the workbook." type="5" refreshedVersion="8" background="1" saveData="1">
    <dbPr connection="Provider=Microsoft.Mashup.OleDb.1;Data Source=$Workbook$;Location=&quot;Botanical Storeroom&quot;;Extended Properties=&quot;&quot;" command="SELECT * FROM [Botanical Storeroom]"/>
  </connection>
  <connection id="4" xr16:uid="{00000000-0015-0000-FFFF-FFFF03000000}" keepAlive="1" name="Query - CB1 Bar" description="Connection to the 'CB1 Bar' query in the workbook." type="5" refreshedVersion="8" background="1" saveData="1">
    <dbPr connection="Provider=Microsoft.Mashup.OleDb.1;Data Source=$Workbook$;Location=&quot;CB1 Bar&quot;;Extended Properties=&quot;&quot;" command="SELECT * FROM [CB1 Bar]"/>
  </connection>
  <connection id="5" xr16:uid="{00000000-0015-0000-FFFF-FFFF04000000}" keepAlive="1" name="Query - CB2 Bar" description="Connection to the 'CB2 Bar' query in the workbook." type="5" refreshedVersion="8" background="1" saveData="1">
    <dbPr connection="Provider=Microsoft.Mashup.OleDb.1;Data Source=$Workbook$;Location=&quot;CB2 Bar&quot;;Extended Properties=&quot;&quot;" command="SELECT * FROM [CB2 Bar]"/>
  </connection>
  <connection id="6" xr16:uid="{00000000-0015-0000-FFFF-FFFF05000000}" keepAlive="1" name="Query - CB3 Bar" description="Connection to the 'CB3 Bar' query in the workbook." type="5" refreshedVersion="8" background="1" saveData="1">
    <dbPr connection="Provider=Microsoft.Mashup.OleDb.1;Data Source=$Workbook$;Location=&quot;CB3 Bar&quot;;Extended Properties=&quot;&quot;" command="SELECT * FROM [CB3 Bar]"/>
  </connection>
  <connection id="7" xr16:uid="{00000000-0015-0000-FFFF-FFFF06000000}" keepAlive="1" name="Query - Full Stock List" description="Connection to the 'Full Stock List' query in the workbook." type="5" refreshedVersion="8" background="1" saveData="1">
    <dbPr connection="Provider=Microsoft.Mashup.OleDb.1;Data Source=$Workbook$;Location=&quot;Full Stock List&quot;;Extended Properties=&quot;&quot;" command="SELECT * FROM [Full Stock List]"/>
  </connection>
  <connection id="8" xr16:uid="{00000000-0015-0000-FFFF-FFFF07000000}" keepAlive="1" name="Query - GB1 Bar" description="Connection to the 'GB1 Bar' query in the workbook." type="5" refreshedVersion="8" background="1" saveData="1">
    <dbPr connection="Provider=Microsoft.Mashup.OleDb.1;Data Source=$Workbook$;Location=&quot;GB1 Bar&quot;;Extended Properties=&quot;&quot;" command="SELECT * FROM [GB1 Bar]"/>
  </connection>
  <connection id="9" xr16:uid="{00000000-0015-0000-FFFF-FFFF08000000}" keepAlive="1" name="Query - GB2 Bar" description="Connection to the 'GB2 Bar' query in the workbook." type="5" refreshedVersion="8" background="1" saveData="1">
    <dbPr connection="Provider=Microsoft.Mashup.OleDb.1;Data Source=$Workbook$;Location=&quot;GB2 Bar&quot;;Extended Properties=&quot;&quot;" command="SELECT * FROM [GB2 Bar]"/>
  </connection>
  <connection id="10" xr16:uid="{00000000-0015-0000-FFFF-FFFF09000000}" keepAlive="1" name="Query - Juice Fridge" description="Connection to the 'Juice Fridge' query in the workbook." type="5" refreshedVersion="8" background="1" saveData="1">
    <dbPr connection="Provider=Microsoft.Mashup.OleDb.1;Data Source=$Workbook$;Location=&quot;Juice Fridge&quot;;Extended Properties=&quot;&quot;" command="SELECT * FROM [Juice Fridge]"/>
  </connection>
  <connection id="11" xr16:uid="{00000000-0015-0000-FFFF-FFFF0A000000}" keepAlive="1" name="Query - Loading Dock Fridge" description="Connection to the 'Loading Dock Fridge' query in the workbook." type="5" refreshedVersion="8" background="1" saveData="1">
    <dbPr connection="Provider=Microsoft.Mashup.OleDb.1;Data Source=$Workbook$;Location=&quot;Loading Dock Fridge&quot;;Extended Properties=&quot;&quot;" command="SELECT * FROM [Loading Dock Fridge]"/>
  </connection>
  <connection id="12" xr16:uid="{00000000-0015-0000-FFFF-FFFF0B000000}" keepAlive="1" name="Query - Lower Keg" description="Connection to the 'Lower Keg' query in the workbook." type="5" refreshedVersion="8" background="1" saveData="1">
    <dbPr connection="Provider=Microsoft.Mashup.OleDb.1;Data Source=$Workbook$;Location=&quot;Lower Keg&quot;;Extended Properties=&quot;&quot;" command="SELECT * FROM [Lower Keg]"/>
  </connection>
  <connection id="13" xr16:uid="{00000000-0015-0000-FFFF-FFFF0C000000}" keepAlive="1" name="Query - Postmix Loading Dock" description="Connection to the 'Postmix Loading Dock' query in the workbook." type="5" refreshedVersion="8" background="1" saveData="1">
    <dbPr connection="Provider=Microsoft.Mashup.OleDb.1;Data Source=$Workbook$;Location=&quot;Postmix Loading Dock&quot;;Extended Properties=&quot;&quot;" command="SELECT * FROM [Postmix Loading Dock]"/>
  </connection>
  <connection id="14" xr16:uid="{00000000-0015-0000-FFFF-FFFF0D000000}" keepAlive="1" name="Query - Postmix Lower Keg" description="Connection to the 'Postmix Lower Keg' query in the workbook." type="5" refreshedVersion="8" background="1" saveData="1">
    <dbPr connection="Provider=Microsoft.Mashup.OleDb.1;Data Source=$Workbook$;Location=&quot;Postmix Lower Keg&quot;;Extended Properties=&quot;&quot;" command="SELECT * FROM [Postmix Lower Keg]"/>
  </connection>
  <connection id="15" xr16:uid="{00000000-0015-0000-FFFF-FFFF0E000000}" keepAlive="1" name="Query - Postmix TWR" description="Connection to the 'Postmix TWR' query in the workbook." type="5" refreshedVersion="8" background="1" saveData="1">
    <dbPr connection="Provider=Microsoft.Mashup.OleDb.1;Data Source=$Workbook$;Location=&quot;Postmix TWR&quot;;Extended Properties=&quot;&quot;" command="SELECT * FROM [Postmix TWR]"/>
  </connection>
  <connection id="16" xr16:uid="{00000000-0015-0000-FFFF-FFFF0F000000}" keepAlive="1" name="Query - Spirits Room" description="Connection to the 'Spirits Room' query in the workbook." type="5" refreshedVersion="8" background="1" saveData="1">
    <dbPr connection="Provider=Microsoft.Mashup.OleDb.1;Data Source=$Workbook$;Location=&quot;Spirits Room&quot;;Extended Properties=&quot;&quot;" command="SELECT * FROM [Spirits Room]"/>
  </connection>
  <connection id="17" xr16:uid="{00000000-0015-0000-FFFF-FFFF10000000}" keepAlive="1" name="Query - Upper Keg" description="Connection to the 'Upper Keg' query in the workbook." type="5" refreshedVersion="8" background="1" saveData="1">
    <dbPr connection="Provider=Microsoft.Mashup.OleDb.1;Data Source=$Workbook$;Location=&quot;Upper Keg&quot;;Extended Properties=&quot;&quot;" command="SELECT * FROM [Upper Keg]"/>
  </connection>
  <connection id="18" xr16:uid="{00000000-0015-0000-FFFF-FFFF11000000}" keepAlive="1" name="Query - White Wine Fridge" description="Connection to the 'White Wine Fridge' query in the workbook." type="5" refreshedVersion="8" background="1" saveData="1">
    <dbPr connection="Provider=Microsoft.Mashup.OleDb.1;Data Source=$Workbook$;Location=&quot;White Wine Fridge&quot;;Extended Properties=&quot;&quot;" command="SELECT * FROM [White Wine Fridge]"/>
  </connection>
</connections>
</file>

<file path=xl/sharedStrings.xml><?xml version="1.0" encoding="utf-8"?>
<sst xmlns="http://schemas.openxmlformats.org/spreadsheetml/2006/main" count="11191" uniqueCount="279">
  <si>
    <t>Barcode</t>
  </si>
  <si>
    <t>Sub Category</t>
  </si>
  <si>
    <t>Category</t>
  </si>
  <si>
    <t>Product Name</t>
  </si>
  <si>
    <t>Carton Size</t>
  </si>
  <si>
    <t>Grand Total</t>
  </si>
  <si>
    <t>Juice Fridge</t>
  </si>
  <si>
    <t>Upper Keg</t>
  </si>
  <si>
    <t>Astral Bar</t>
  </si>
  <si>
    <t>GB1 Bar</t>
  </si>
  <si>
    <t>GB2 Bar</t>
  </si>
  <si>
    <t>CB1 Bar</t>
  </si>
  <si>
    <t>CB2 Bar</t>
  </si>
  <si>
    <t>CB3 Bar</t>
  </si>
  <si>
    <t>Spirits Room</t>
  </si>
  <si>
    <t>White Wine Fridge</t>
  </si>
  <si>
    <t>Lower Keg</t>
  </si>
  <si>
    <t>Botanical Storeroom</t>
  </si>
  <si>
    <t>Botanical Bar</t>
  </si>
  <si>
    <t>Loading Dock Fridge</t>
  </si>
  <si>
    <t>Postmix Loading Dock</t>
  </si>
  <si>
    <t>Postmix Lower Keg</t>
  </si>
  <si>
    <t>Postmix TWR</t>
  </si>
  <si>
    <t>BEER AUS PACK</t>
  </si>
  <si>
    <t>BEER</t>
  </si>
  <si>
    <t>BROOKVALE GINGER BEER 330ML STUBBIE CTNx24EA</t>
  </si>
  <si>
    <t>CARLTON DRY STUBBIE 330ML CTNX24EA</t>
  </si>
  <si>
    <t>CARLTON ZERO STUBBIE 330ML CTNx24EA</t>
  </si>
  <si>
    <t>GREAT NORTHERN SUPER CRISP LAGER 330ML CTNx24EA</t>
  </si>
  <si>
    <t>HAHN ULTRA CRISP GLUTEN FREE 4.2% 330ML CTNx24EA</t>
  </si>
  <si>
    <t>SWAN DRAUGHT 375ML CAN CTN X24</t>
  </si>
  <si>
    <t>BEER IMP PACK</t>
  </si>
  <si>
    <t>HEINEKEN ZERO 0.0% STUBBIE 330ML CTNx24EA</t>
  </si>
  <si>
    <t>BEER PACK</t>
  </si>
  <si>
    <t>CORONA BEER 355ML CTNx24EA</t>
  </si>
  <si>
    <t>CROWN LAGER STUBBIE 24X375ML</t>
  </si>
  <si>
    <t>HAHN LIGHT PREMIUM STUBBIE 375ML 3547 CTNx24EA</t>
  </si>
  <si>
    <t>HAHN SUPER DRY 3.5pcnt 330ML CTNx24EA 3424</t>
  </si>
  <si>
    <t>HEINEKEN LAGER XLN STUBBIE 330ML CTNx24ea - 3096</t>
  </si>
  <si>
    <t>LITTLE CREATURES PALE ALE 330ML 574046</t>
  </si>
  <si>
    <t>LITTLE CREATURES ROGERS AMBER ALE 330ML 574070 CTNx24EA</t>
  </si>
  <si>
    <t>PERONI NASTRO AZZURO 330ML 946170 CTNx24EA</t>
  </si>
  <si>
    <t>CIDER</t>
  </si>
  <si>
    <t>JAMES SQUIRE ORCHARD CRUSH APPLE 4.8% STUBBIE 345ML CTNx24EA</t>
  </si>
  <si>
    <t>PORT</t>
  </si>
  <si>
    <t>FORTIFIED/DESSERT WINE</t>
  </si>
  <si>
    <t>GALWAY PIPE OLD TAWNY PORT 750MLCTNx6EA 510403</t>
  </si>
  <si>
    <t>LIMEBURNERS PORT CASK M22 WHISKEY 700ML</t>
  </si>
  <si>
    <t>PENFOLDS CLUB TAWNY PORT 750ML</t>
  </si>
  <si>
    <t>PENFOLDS GRANDFATHER PORT 750ML SD20</t>
  </si>
  <si>
    <t>WINE DSRT</t>
  </si>
  <si>
    <t>DE BORTOLI NOBLE ONE BOTRYTIS SEMILLON 2015 750ML 531726</t>
  </si>
  <si>
    <t>T'GALLANT JULIET MOSCATO 750ML</t>
  </si>
  <si>
    <t>CORDIAL</t>
  </si>
  <si>
    <t>NON ALCOHOLIC</t>
  </si>
  <si>
    <t>FEE BROS FEE FOAM 150ML CTNx12EA</t>
  </si>
  <si>
    <t>GIFFARD PUREE STRAWBERRY 1LT</t>
  </si>
  <si>
    <t>GIFFARD SYRUP ELDERFLOWER 1LT</t>
  </si>
  <si>
    <t>GIFFARD SYRUP WATERMELON 1000ML</t>
  </si>
  <si>
    <t>GRENADINE SYRUP CAWSEYS 750MLX8 565084</t>
  </si>
  <si>
    <t>LIME JUICE BICKFORDS 750ML EA</t>
  </si>
  <si>
    <t>JUICE</t>
  </si>
  <si>
    <t>JUICE APPLE SPRING VALLEY GLASS 300ML CTNx24EA</t>
  </si>
  <si>
    <t>JUICE CLOUDY APPLE 100pcnt HARVEY FRESH 2LT CTNx6EA 80298</t>
  </si>
  <si>
    <t>JUICE CRANBERRY OCEAN SPRAY 1.5LT EA</t>
  </si>
  <si>
    <t>JUICE LEMON 100pcnt HARVEY FRESH L1 CNx6x1L 80314</t>
  </si>
  <si>
    <t>JUICE ORANGE 100pcnt HARVEY FRESH 3LT CTNx4ea - 80341</t>
  </si>
  <si>
    <t>JUICE ORANGE SPRING VALLEY GLASS 300ML CTNx24EA</t>
  </si>
  <si>
    <t>JUICE PINEAPPLE NIPPYS 2LT</t>
  </si>
  <si>
    <t>LIME JUICE FRESHLY SQUEEZED 2LT</t>
  </si>
  <si>
    <t>MIXER SUNDRY</t>
  </si>
  <si>
    <t>BITTERS AROMATIC BITTERS GLASS 45% BTL 250ML CTNx12EA</t>
  </si>
  <si>
    <t>SFT DRK PMIX</t>
  </si>
  <si>
    <t>POSTMIX PEPSI MAX 10L</t>
  </si>
  <si>
    <t>POSTMIX PEPSI REGULAR 15L</t>
  </si>
  <si>
    <t xml:space="preserve">POSTMIX SCHWEPPES DRY GINGER ALE 10L </t>
  </si>
  <si>
    <t>POSTMIX SCHWEPPES LEMONADE 15L</t>
  </si>
  <si>
    <t xml:space="preserve">POSTMIX SCHWEPPES TONIC WATER 10 </t>
  </si>
  <si>
    <t xml:space="preserve">POSTMIX SOLO LEMON 15L </t>
  </si>
  <si>
    <t>SFT DRNK PK</t>
  </si>
  <si>
    <t>CASCADE CLASSIC GINGER BEER 330ML CTNx24ea</t>
  </si>
  <si>
    <t>CASCADE DRY GINGER ALE 330ML 954818 CTNx24EA</t>
  </si>
  <si>
    <t>CASCADE TONIC WATER 330ML BTL</t>
  </si>
  <si>
    <t>PEPSI MAX GLASS BTL 300ML</t>
  </si>
  <si>
    <t>PEPSI REGULAR GLASS BTL 300ML</t>
  </si>
  <si>
    <t>RED BULL ENERGY DRINK 24X250ML</t>
  </si>
  <si>
    <t>RED BULL SUGAR-FREE 250ML CTNx24ea</t>
  </si>
  <si>
    <t>SCHWEPPES TONIC WATER GLASS BTL 300ML</t>
  </si>
  <si>
    <t>SCHWEPPS DRY GINGER ALE GLAS BTL 300ML</t>
  </si>
  <si>
    <t>SCHWEPPS LEMONDADE GLASS BTL 300ML</t>
  </si>
  <si>
    <t>SCHWEPPS SODA WATER GLASS BTL 300ML</t>
  </si>
  <si>
    <t>SOLO GLASS BTL 300ML</t>
  </si>
  <si>
    <t>WATER MIN</t>
  </si>
  <si>
    <t>COCONUT WATER BAMBOO TREE 1LT</t>
  </si>
  <si>
    <t>SAN PELLEGRINO SPARKLING WATER GLASS 250ML CTNx24 ea</t>
  </si>
  <si>
    <t>SAN PELLEGRINO SPARKLING WATER GLASS 500MLCNx24</t>
  </si>
  <si>
    <t>SAN PELLEGRINO WATER SPARKLING GLASS 750ML CTNx12ea</t>
  </si>
  <si>
    <t>VOSS SPARKLING MINERAL WATER 375ML CTNx24ea-613015</t>
  </si>
  <si>
    <t>WATER AQUA PANNA WATER 250ML CTNx24EA</t>
  </si>
  <si>
    <t>CAB SAUV</t>
  </si>
  <si>
    <t>RED WINE</t>
  </si>
  <si>
    <t>AMELIA PARK RESERVE CABERNET SAUVIGNON 750ML CTNx6EA</t>
  </si>
  <si>
    <t>HENSCHKE CYRIL CAB SAUV 2012 750ML CTNx6EA</t>
  </si>
  <si>
    <t>HOWARD PARK MIAMUP CAB SAUV 2015 750ML CTNX12EA</t>
  </si>
  <si>
    <t>LEEUWIN ESTATE ART SERIES CAB SAUV 2021 750ML</t>
  </si>
  <si>
    <t>LEEUWIN ESTATE PRELUDE CAB SAUV 2021 750ML</t>
  </si>
  <si>
    <t>PENFOLDS BIN 407 CAB SAUV 2022 750ML</t>
  </si>
  <si>
    <t>ROBERT OATLEY M/RIVER SIGNATURE SERIES CAB SAUV 750ML</t>
  </si>
  <si>
    <t>TATACHILLA CAB SAUV 2017 750ML BTL</t>
  </si>
  <si>
    <t>VASSE FELIX CABERNET SAUVIGNON 750ML EA</t>
  </si>
  <si>
    <t>VASSE FELIX FILIUS CAB SAUV 750ML CTNx12EA</t>
  </si>
  <si>
    <t>MERLOT</t>
  </si>
  <si>
    <t>AMELIA PARK TRELLI CAB MERLOT 750ML CTNX12EA</t>
  </si>
  <si>
    <t>REDBANK VICTORIAN MERLOT 750ML</t>
  </si>
  <si>
    <t>PINOT NOIR</t>
  </si>
  <si>
    <t>BABICH RESERVE PINOT NOIR 2007 750ML</t>
  </si>
  <si>
    <t>EDDYSTONE POINT PINOT NOIR 750ML</t>
  </si>
  <si>
    <t>NINTH ISLAND PINOT NOIR 750ML</t>
  </si>
  <si>
    <t>SHIRAZ</t>
  </si>
  <si>
    <t>ABILENE SHIRAZ (CROWN BANQUETS) 750ML CTNx12EA</t>
  </si>
  <si>
    <t>AMBERLEY SHIRAZ 750ML 786559</t>
  </si>
  <si>
    <t>EDEN VALE NON ALCOHOLIC SHIRAZ 750ML CTNx6EA</t>
  </si>
  <si>
    <t>LEEUWIN ESTATE ART SERIES SHIRAZ 2018 750ML CTNx12ea</t>
  </si>
  <si>
    <t>OXFORD LANDING SHIRAZ 750ML CTNx12EA</t>
  </si>
  <si>
    <t>PENFOLDS BIN 28 KALIMNA SHIRAZ 2018 750ML</t>
  </si>
  <si>
    <t>PENFOLDS BIN 28 SHIRAZ 2021 750ML CTNx6EA</t>
  </si>
  <si>
    <t>PENFOLDS ST HENRI SHIRAZ 2014 750ML CTNx6EA</t>
  </si>
  <si>
    <t>VASSE FELIX FILIUS SHIRAZ 750ML CTNx12EA</t>
  </si>
  <si>
    <t>VINACEOUS SNAKE CHARMER SHIRAZ 2011 750ML</t>
  </si>
  <si>
    <t>WINE RED OTH</t>
  </si>
  <si>
    <t>ARGENTO ORGANIC MALBEC 750ML CTNx6EA</t>
  </si>
  <si>
    <t>BECKETTS FLAT CAB MERLOT KOSHER 750ML</t>
  </si>
  <si>
    <t>FRASER GALLOP CAB MERLOT MARGARET RIVER 750ML CTNx12EA</t>
  </si>
  <si>
    <t>PENFOLDS BIN 389 CABERNET SHIRAZ 2012 750ML CTNx6EA</t>
  </si>
  <si>
    <t>VASSE FELIX CLASSIC DRY RED 750ML</t>
  </si>
  <si>
    <t>CHAMP IMP</t>
  </si>
  <si>
    <t>SPARKLING</t>
  </si>
  <si>
    <t>BILLECART-SALMON BRUT NV CHAMPAGNE 750ML</t>
  </si>
  <si>
    <t>DOM PERIGNON 2013 750ML CTNx6EA</t>
  </si>
  <si>
    <t>CHAMP SPARK</t>
  </si>
  <si>
    <t>DOMAINE CHANDON NV 750ML EA</t>
  </si>
  <si>
    <t>IDEE FIXE PREMIER BRUT BLANC DE BLANCS 750ML CTNX6EA</t>
  </si>
  <si>
    <t>MOET &amp; CHANDON BRUT IMPL NV 750ML CTNx6ea - 13149</t>
  </si>
  <si>
    <t>MUMM CORDON ROUGE 750ML</t>
  </si>
  <si>
    <t>SEPPELT SALINGER SELECT CUVEE NV 750ML</t>
  </si>
  <si>
    <t>VEUVE CLICQUOT PONSARDIN YELLOW LABEL NV BRUT 750ML</t>
  </si>
  <si>
    <t>WOODBROOK VINEYARD SPARKLING CUVEE BRUT  (CROWN BANQUETS</t>
  </si>
  <si>
    <t>CHAMP SPARK AUS</t>
  </si>
  <si>
    <t>BARTENURA MOSCATO D'ASTI KOSHER 750ML</t>
  </si>
  <si>
    <t>EDEN VALE NON ALCOHOLIC SPARKLING 750ML CTNx6EA</t>
  </si>
  <si>
    <t>HOWARD PARK JETE NV SPARKLING 750ML CTNx6EA</t>
  </si>
  <si>
    <t>LEEUWIN SPARKLING PINOT CHARDONNAY BRUT 750ML CTNx6EA</t>
  </si>
  <si>
    <t>T'GALLANT SPARKLING CHARDONNAY PINOT NOIR 750ML CTNx6EA</t>
  </si>
  <si>
    <t>T'GALLANT SPARKLING PROSECCO 750ML CTNx6EA</t>
  </si>
  <si>
    <t>VEUVE TAILHAN SPARKLING 750ML CTNx12EA</t>
  </si>
  <si>
    <t>APPERETIF</t>
  </si>
  <si>
    <t>SPIRITS</t>
  </si>
  <si>
    <t>CAMPARI 700ML  EA</t>
  </si>
  <si>
    <t>BOURBON</t>
  </si>
  <si>
    <t>BOURBON BULLEIT 700ML CTNx6EA</t>
  </si>
  <si>
    <t>BOURBON JACK DANIELS 1LT 561145 CTNx6EA</t>
  </si>
  <si>
    <t>BOURBON MAKERS MARK 700ML - 522201</t>
  </si>
  <si>
    <t>BOURBON WILD TURKEY 1LT BTL</t>
  </si>
  <si>
    <t>GEORGE DICKEL NO 12 WHISKEY 700ML CTNx6EA</t>
  </si>
  <si>
    <t>JIM BEAM SMALL BATCH 700ML 549397</t>
  </si>
  <si>
    <t>WILD TURKEY HONEY 700ML 563891 CTNx6EA</t>
  </si>
  <si>
    <t>COGNAC IMP</t>
  </si>
  <si>
    <t>COURVOSIER VSOP COGNAC 700ML EA</t>
  </si>
  <si>
    <t>HENNESSY VSOP COGNAC 700ML CTNx6ea</t>
  </si>
  <si>
    <t xml:space="preserve">HENNESSY XO COGNAC 700ML </t>
  </si>
  <si>
    <t>REMY MARTIN XO COGNAC 700ML EA</t>
  </si>
  <si>
    <t>GIN</t>
  </si>
  <si>
    <t>BEEFEATER 24 GIN 700ML</t>
  </si>
  <si>
    <t>BOMBAY SAPPHIRE GIN 700ML 788195 CTNx6EA</t>
  </si>
  <si>
    <t>HENDRICKS GIN 700ML 942618 CTNx6EA</t>
  </si>
  <si>
    <t>HIPPOCAMPUS GIN 700ML</t>
  </si>
  <si>
    <t>TANQUERAY GIN 700ML 574342 CTNx6EA</t>
  </si>
  <si>
    <t>WEST WINDS BROADSIDE 58% GIN 700ML</t>
  </si>
  <si>
    <t>LIQUEUR</t>
  </si>
  <si>
    <t>APEROL 700ML 526226 CTNx6EA</t>
  </si>
  <si>
    <t>BAILEYS IRISH CREAM 1LT 994275 CTNx6EA</t>
  </si>
  <si>
    <t>COINTREAU LIQUEUR 1LTR CTNx6EA 989814</t>
  </si>
  <si>
    <t>CONTINENTAL CASSIS (BLACKCURRANT) LIQUEUR 500ML 589486</t>
  </si>
  <si>
    <t>DE KUYPER MANGO LIQUEUR 500ML</t>
  </si>
  <si>
    <t>DE KUYPER PEACH SCHNAPPS 700ML 589339</t>
  </si>
  <si>
    <t>DE KUYPER TRIPLE SEC 500ML</t>
  </si>
  <si>
    <t>DISARONNO AMARETTO ALMOND LIQUEUR 700ML 586771</t>
  </si>
  <si>
    <t>DRAMBUIE 700ML CTNx6EA 306040</t>
  </si>
  <si>
    <t>FRANGELICO LIQUEUR 700ML CTNx6ea - 580220</t>
  </si>
  <si>
    <t>GLAYVA SCOTCH LIQUEUR 500ML 579350 CTNx6EA</t>
  </si>
  <si>
    <t>KAHLUA LIQUEUR 1LT EA</t>
  </si>
  <si>
    <t>PIMMS NO. 1 700ML 668138</t>
  </si>
  <si>
    <t>SUNTORY LENA BANANA LIQUEUR 700ML EA</t>
  </si>
  <si>
    <t>TIA MARIA LIQUEUR 1LT CTNx6EA 581705</t>
  </si>
  <si>
    <t>LIQUEUR AUS</t>
  </si>
  <si>
    <t>VOK CHERRY BRANDY 500ML CTNx6EA 587793</t>
  </si>
  <si>
    <t>LIQUEUR IMP</t>
  </si>
  <si>
    <t>DE KUYPER APPLE SCHNAPPS 700ML 589389 CTNx12EA</t>
  </si>
  <si>
    <t>RUM</t>
  </si>
  <si>
    <t>APPLETON ESTATE SIG BLEND JAMAICA RUM 700ML EA</t>
  </si>
  <si>
    <t>BACARDI RUM 1LT CARTA BLANCA CTNx12EA 788292</t>
  </si>
  <si>
    <t>BUNDABERG RUM UP 1125ML CTNx12ea - 527727</t>
  </si>
  <si>
    <t>MALIBU RUM 700ML EA</t>
  </si>
  <si>
    <t>MOUNT GAY RUM 1703 700ML</t>
  </si>
  <si>
    <t>SPICED RUM KRAKEN BLACK SPICED RUM 700ML CTNx6EA</t>
  </si>
  <si>
    <t>SPIRIT OTH</t>
  </si>
  <si>
    <t>DON JULIO BLANCO 750ml 565343</t>
  </si>
  <si>
    <t>EL JIMADOR TEQUILA REPOSADO 700ML 511933</t>
  </si>
  <si>
    <t>MARTINI EXTRA DRY 539164 1LT</t>
  </si>
  <si>
    <t>OUZO AKROPOLIS 1125ML CTNx12EA</t>
  </si>
  <si>
    <t>VODKA</t>
  </si>
  <si>
    <t>BELVEDERE VODKA PURE 700ML</t>
  </si>
  <si>
    <t>GREY GOOSE VODKA 700ML CTNx6EA 818403</t>
  </si>
  <si>
    <t>HIPPOCAMPUS VODKA 700ML</t>
  </si>
  <si>
    <t>KETEL ONE VODKA 700ML 857180</t>
  </si>
  <si>
    <t>WHISKEY</t>
  </si>
  <si>
    <t>BALVENIE 12 YR OLD SINGLE MALT SCOTCH WHISKEY 700ML</t>
  </si>
  <si>
    <t>BUSHMILLS MALT IRISH WHISKEY 700ML 533943 CTNx6EA</t>
  </si>
  <si>
    <t>CHIVAS REGAL WHISKEY 18YR OLD 540893</t>
  </si>
  <si>
    <t>CHIVAS REGAL WHISKEY CTNx6x1LT 12YR OLD</t>
  </si>
  <si>
    <t>GENTLEMAN JACK TENNESSEE WHISKEY 700ML 548121 CTNx6EA</t>
  </si>
  <si>
    <t>GLENFIDDICH 18YO 700ML 785074</t>
  </si>
  <si>
    <t>JAMESON IRISH WHISKEY 1LTX12</t>
  </si>
  <si>
    <t>JOHNNIE WALKER BLACK WHISKEY 700ML CTNx12EA 566577</t>
  </si>
  <si>
    <t>JOHNNIE WALKER BLUE TIFFANY 700ML 541572</t>
  </si>
  <si>
    <t>JOHNNIE WALKER RED 1125ML 584334</t>
  </si>
  <si>
    <t>CHARDONNAY</t>
  </si>
  <si>
    <t>WHITE WINE</t>
  </si>
  <si>
    <t>DOMAINE DE MONTILLE CLOS DU CHATEAU 750ML CTNx6EA</t>
  </si>
  <si>
    <t>EDEN VALE CHARDONNAY NON ALCOHOLIC 750ML CTNX6EA</t>
  </si>
  <si>
    <t>LEEUWIN ESTATE PRELUDE CHARDONNAY 2021 750ML</t>
  </si>
  <si>
    <t>PENFOLDS BIN 311 CHARDONNAY 2016 750ML CTNx6EA</t>
  </si>
  <si>
    <t>PENFOLDS CELLAR RESERVE CHARDONNAY 2013 750ML CTNx6EA</t>
  </si>
  <si>
    <t>PLANTAGENET THREE LIONS CHARDONNAY 750ML CTNx12EA</t>
  </si>
  <si>
    <t>SHAW SMITH M3 CHARDONNAY 2023 750ML</t>
  </si>
  <si>
    <t>VASSE FELIX FILIUS CHARDONNAY 750ML CTN x 6ea    Add a new</t>
  </si>
  <si>
    <t>XANADU BLACK LABEL CHARDONNAY 2021 750ML</t>
  </si>
  <si>
    <t>RIESLING</t>
  </si>
  <si>
    <t>HENSCHKE JULIUS E-VALLEY RIESLING 750ML 2021 CTNx12EA</t>
  </si>
  <si>
    <t>LEO BURING CLARE VALLEY RIESLING 2019 750ML</t>
  </si>
  <si>
    <t>ROSE</t>
  </si>
  <si>
    <t>FOLKLORE CLASSIC DRY ROSE 750ML CTNx12EA</t>
  </si>
  <si>
    <t>HOWARD PARK MIAMUP ROSE 750ML CTNx12EA</t>
  </si>
  <si>
    <t>SAUV BLANC</t>
  </si>
  <si>
    <t>BABICH BLACK LABEL SAUVIGNON BLANC 750ML CTNx12EA</t>
  </si>
  <si>
    <t>LEEUWIN ESTATE ART SERIES SAUV BLANC 2019 750ML</t>
  </si>
  <si>
    <t>OXFORD LANDING SAUV BLANC 750ML CTNx12EA</t>
  </si>
  <si>
    <t>VASSE FELIX FILIUS SBS 2023 750ML</t>
  </si>
  <si>
    <t>SEMILLON</t>
  </si>
  <si>
    <t>DEVILS LAIR HIDDEN CAVE SBS 750ml 2016 542578</t>
  </si>
  <si>
    <t>WINE WHITE</t>
  </si>
  <si>
    <t>BRIGADE BLOCK SEM SAUV BLANC (CROWN BANQUETS) 750ML CTNx12EA</t>
  </si>
  <si>
    <t>FIFTH LEG WHIPPER-SNAPPER SAUV BLANC 750ML</t>
  </si>
  <si>
    <t>INNOCENT BYSTANDER PINOT GRIS 2014 750ML CTNx6EA</t>
  </si>
  <si>
    <t>NINTH ISLAND PINOT GRIGIO 2018 750ML</t>
  </si>
  <si>
    <t>PENFOLDS CELLAR RESERVE PINOT GRIS 2014 750ML CTNx6EA</t>
  </si>
  <si>
    <t>SANDALFORD ELEMENT LATE HARVEST SOFT SWEET WHITE 750ML</t>
  </si>
  <si>
    <t>VASSE FELIX CLASSIC DRY WHITE 750ML CTNx12EA</t>
  </si>
  <si>
    <t>WINE WHITE OTH</t>
  </si>
  <si>
    <t>BABICH BLACK LABEL PINOT GRIS 750ML CTNx12EA</t>
  </si>
  <si>
    <t>Total</t>
  </si>
  <si>
    <t>Cartons</t>
  </si>
  <si>
    <t>Cartons2</t>
  </si>
  <si>
    <t>Cartons3</t>
  </si>
  <si>
    <t>Loose</t>
  </si>
  <si>
    <t>Loose2</t>
  </si>
  <si>
    <t>Loose3</t>
  </si>
  <si>
    <t>Quantity</t>
  </si>
  <si>
    <t>Champagne Tattinger</t>
  </si>
  <si>
    <t>?</t>
  </si>
  <si>
    <t>Hay Shed Rosé</t>
  </si>
  <si>
    <t>6?</t>
  </si>
  <si>
    <t>Cinzano Rosso</t>
  </si>
  <si>
    <t>Don Julio 1942</t>
  </si>
  <si>
    <t>Coopers 3.5</t>
  </si>
  <si>
    <t>Guinness cans</t>
  </si>
  <si>
    <t xml:space="preserve">Sunkist </t>
  </si>
  <si>
    <t xml:space="preserve">Fifth Leg Cab Sav Shiraz Merlot </t>
  </si>
  <si>
    <t>Redbank The Long Paddock Merlot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</si>
</sst>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3" xfId="0" applyBorder="1" applyAlignment="1" applyProtection="1">
      <alignment horizontal="left" wrapText="1"/>
      <protection locked="0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2" fillId="0" borderId="0" xfId="0" applyFont="1"/>
    <xf numFmtId="0" fontId="2" fillId="2" borderId="1" xfId="0" applyFont="1" applyFill="1" applyBorder="1"/>
    <xf numFmtId="0" fontId="2" fillId="2" borderId="8" xfId="0" applyFont="1" applyFill="1" applyBorder="1"/>
    <xf numFmtId="0" fontId="0" fillId="0" borderId="3" xfId="0" applyBorder="1"/>
    <xf numFmtId="0" fontId="1" fillId="2" borderId="3" xfId="0" applyFont="1" applyFill="1" applyBorder="1"/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0" fontId="2" fillId="2" borderId="1" xfId="0" applyFont="1" applyFill="1" applyBorder="1" applyAlignment="1">
      <alignment vertical="center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4" fillId="3" borderId="10" xfId="0" applyFont="1" applyFill="1" applyBorder="1"/>
    <xf numFmtId="0" fontId="0" fillId="0" borderId="10" xfId="0" applyBorder="1"/>
    <xf numFmtId="2" fontId="4" fillId="3" borderId="10" xfId="0" applyNumberFormat="1" applyFont="1" applyFill="1" applyBorder="1"/>
    <xf numFmtId="2" fontId="0" fillId="0" borderId="10" xfId="0" applyNumberFormat="1" applyBorder="1"/>
    <xf numFmtId="2" fontId="0" fillId="0" borderId="0" xfId="0" applyNumberFormat="1"/>
  </cellXfs>
  <cellStyles count="1">
    <cellStyle name="Normal" xfId="0" builtinId="0"/>
  </cellStyles>
  <dxfs count="25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  <protection locked="1" hidden="0"/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000-000001000000}" autoFormatId="16" applyNumberFormats="0" applyBorderFormats="0" applyFontFormats="0" applyPatternFormats="0" applyAlignmentFormats="0" applyWidthHeightFormats="0">
  <queryTableRefresh nextId="26" unboundColumnsRight="18">
    <queryTableFields count="23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10" dataBound="0" tableColumnId="9"/>
      <queryTableField id="11" dataBound="0" tableColumnId="10"/>
      <queryTableField id="12" dataBound="0" tableColumnId="11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  <queryTableField id="24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100-000002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00000000-0016-0000-0200-000003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4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0000000-0016-0000-0400-000005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0000000-0016-0000-0500-000006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600-000007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700-000008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0800-000009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00000000-0016-0000-0900-00000A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00000000-0016-0000-0A00-00000B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000000-0016-0000-0B00-00000C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C00-000000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D00-00000D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E00-00000E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0000000-0016-0000-0F00-00000F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0000000-0016-0000-1000-000010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0000000-0016-0000-1100-000011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CA31E-7C91-4465-93CD-1CFBFEBBC2BC}" name="Full_Stock_List" displayName="Full_Stock_List" ref="A1:W193" tableType="queryTable" totalsRowShown="0" headerRowDxfId="252" headerRowBorderDxfId="251" tableBorderDxfId="250" totalsRowBorderDxfId="249">
  <autoFilter ref="A1:W193" xr:uid="{4FBCA31E-7C91-4465-93CD-1CFBFEBBC2BC}"/>
  <sortState xmlns:xlrd2="http://schemas.microsoft.com/office/spreadsheetml/2017/richdata2" ref="A2:W193">
    <sortCondition ref="C1:C193"/>
  </sortState>
  <tableColumns count="23">
    <tableColumn id="3" xr3:uid="{C08AB1D2-BBA9-4F9F-8792-61E5C2181A0E}" uniqueName="3" name="Barcode" queryTableFieldId="3" dataDxfId="248"/>
    <tableColumn id="2" xr3:uid="{6F2BAD19-4FC0-4A93-85AF-E4815587CA00}" uniqueName="2" name="Sub Category" queryTableFieldId="2" dataDxfId="247"/>
    <tableColumn id="1" xr3:uid="{A52C86C1-B7F3-4408-8A52-C11F1625AE15}" uniqueName="1" name="Category" queryTableFieldId="1" dataDxfId="246"/>
    <tableColumn id="4" xr3:uid="{0BBB72CB-AF7F-4EB9-838F-609468C0A569}" uniqueName="4" name="Product Name" queryTableFieldId="4" dataDxfId="245"/>
    <tableColumn id="5" xr3:uid="{488726C2-23EF-47C9-9F53-206A38DB74DE}" uniqueName="5" name="Carton Size" queryTableFieldId="5" dataDxfId="244"/>
    <tableColumn id="6" xr3:uid="{38B0C113-58CF-4831-A897-2639261DD74F}" uniqueName="6" name="Grand Total" queryTableFieldId="6" dataDxfId="243">
      <calculatedColumnFormula>G2+H2+I2+J2+K2+L2+M2+N2+O2+P2+Q2+R2+S2+T2+U2+V2+W2</calculatedColumnFormula>
    </tableColumn>
    <tableColumn id="7" xr3:uid="{6E0C9550-7D6E-423F-97B9-847EA6513A13}" uniqueName="7" name="Juice Fridge" queryTableFieldId="7" dataDxfId="242">
      <calculatedColumnFormula>IFERROR(INDEX('Juice Fridge'!$F$2:$F$300,MATCH(A2,'Juice Fridge'!$A$2:$A$300,0)),0)</calculatedColumnFormula>
    </tableColumn>
    <tableColumn id="8" xr3:uid="{A02E580D-290F-4C86-A54F-5F0C8EC112BC}" uniqueName="8" name="Upper Keg" queryTableFieldId="8" dataDxfId="241">
      <calculatedColumnFormula>IFERROR(INDEX('Upper Keg'!$F$2:$F$300,MATCH(A2,'Upper Keg'!$A$2:$A$300,0)),0)</calculatedColumnFormula>
    </tableColumn>
    <tableColumn id="9" xr3:uid="{E04DAEC6-3EE6-443A-BD67-E1F0AE278955}" uniqueName="9" name="Astral Bar" queryTableFieldId="10" dataDxfId="240">
      <calculatedColumnFormula>IFERROR(INDEX('Astral Bar'!$F$2:$F$300,MATCH(A2,'Astral Bar'!$A$2:$A$300,0)),0)</calculatedColumnFormula>
    </tableColumn>
    <tableColumn id="10" xr3:uid="{3A0365A1-176D-4AB3-BCB1-3235AECAF0DC}" uniqueName="10" name="GB1 Bar" queryTableFieldId="11" dataDxfId="239">
      <calculatedColumnFormula>IFERROR(INDEX('GB1 Bar'!$F$2:$F$300,MATCH(A2,'GB1 Bar'!$A$2:$A$300,0)),0)</calculatedColumnFormula>
    </tableColumn>
    <tableColumn id="11" xr3:uid="{0D96411D-8CDF-4CAC-BB1C-2FA64D6431D0}" uniqueName="11" name="GB2 Bar" queryTableFieldId="12" dataDxfId="238">
      <calculatedColumnFormula>IFERROR(INDEX('GB2 Bar'!$F$2:$F$300,MATCH(A2,'GB2 Bar'!$A$2:$A$300,0)),0)</calculatedColumnFormula>
    </tableColumn>
    <tableColumn id="12" xr3:uid="{E43055FD-8DD5-4332-89B5-8AA3C6668E13}" uniqueName="12" name="CB1 Bar" queryTableFieldId="13" dataDxfId="237">
      <calculatedColumnFormula>IFERROR(INDEX('CB1 Bar'!$F$2:$F$300,MATCH(A2,'CB1 Bar'!$A$2:$A$300,0)),0)</calculatedColumnFormula>
    </tableColumn>
    <tableColumn id="13" xr3:uid="{A0CE8DBE-75D4-4EF7-92BB-807530FC25FA}" uniqueName="13" name="CB2 Bar" queryTableFieldId="14" dataDxfId="236">
      <calculatedColumnFormula>IFERROR(INDEX('CB2 Bar'!$F$2:$F$300,MATCH(A2,'CB2 Bar'!$A$2:$A$300,0)),0)</calculatedColumnFormula>
    </tableColumn>
    <tableColumn id="14" xr3:uid="{D616548A-FD64-4849-9569-B211A336F624}" uniqueName="14" name="CB3 Bar" queryTableFieldId="15" dataDxfId="235">
      <calculatedColumnFormula>IFERROR(INDEX('CB3 Bar'!$F$2:$F$300,MATCH(A2,'CB3 Bar'!$A$2:$A$300,0)),0)</calculatedColumnFormula>
    </tableColumn>
    <tableColumn id="15" xr3:uid="{1DFFF595-4A5D-4DD9-98A8-51F328350E8D}" uniqueName="15" name="Spirits Room" queryTableFieldId="16" dataDxfId="234">
      <calculatedColumnFormula>IFERROR(INDEX('Spirits Room'!$F$2:$F$300,MATCH(A2,'Spirits Room'!$A$2:$A$300,0)),0)</calculatedColumnFormula>
    </tableColumn>
    <tableColumn id="16" xr3:uid="{F50E5F9B-7434-45B1-B1DE-B738C8570CCC}" uniqueName="16" name="White Wine Fridge" queryTableFieldId="17" dataDxfId="233">
      <calculatedColumnFormula>IFERROR(INDEX('White Wine Fridge'!$F$2:$F$300,MATCH(A2,'White Wine Fridge'!$A$2:$A$300,0)),0)</calculatedColumnFormula>
    </tableColumn>
    <tableColumn id="17" xr3:uid="{ABB83125-772E-447D-B292-445632575FE3}" uniqueName="17" name="Lower Keg" queryTableFieldId="18" dataDxfId="232">
      <calculatedColumnFormula>IFERROR(INDEX('Lower Keg'!$F$2:$F$300,MATCH(A2,'Lower Keg'!$A$2:$A$300,0)),0)</calculatedColumnFormula>
    </tableColumn>
    <tableColumn id="18" xr3:uid="{F9F2119C-5B36-4889-95FA-B7E810F269D3}" uniqueName="18" name="Botanical Storeroom" queryTableFieldId="19" dataDxfId="231">
      <calculatedColumnFormula>IFERROR(INDEX('Botanical Storeroom'!$F$2:$F$300,MATCH(A2,'Botanical Storeroom'!$A$2:$A$300,0)),0)</calculatedColumnFormula>
    </tableColumn>
    <tableColumn id="19" xr3:uid="{DFBD8749-0D65-4A38-8F96-06C7778131F4}" uniqueName="19" name="Botanical Bar" queryTableFieldId="20" dataDxfId="230">
      <calculatedColumnFormula>IFERROR(INDEX('Botanical Bar'!$F$2:$F$300,MATCH(A2,'Botanical Bar'!$A$2:$A$300,0)),0)</calculatedColumnFormula>
    </tableColumn>
    <tableColumn id="20" xr3:uid="{D48FD830-1DE9-4C4A-897C-DAC61EEFE077}" uniqueName="20" name="Loading Dock Fridge" queryTableFieldId="21" dataDxfId="229">
      <calculatedColumnFormula>IFERROR(INDEX('Loading Dock Fridge'!$F$2:$F$300,MATCH(A2,'Loading Dock Fridge'!$A$2:$A$300,0)),0)</calculatedColumnFormula>
    </tableColumn>
    <tableColumn id="21" xr3:uid="{C4172BC9-21DB-4773-92BA-637A623A3900}" uniqueName="21" name="Postmix Loading Dock" queryTableFieldId="22" dataDxfId="228">
      <calculatedColumnFormula>IFERROR(INDEX('Postmix Loading Dock'!$F$2:$F$300,MATCH(A2,'Postmix Loading Dock'!$A$2:$A$300,0)),0)</calculatedColumnFormula>
    </tableColumn>
    <tableColumn id="22" xr3:uid="{F3AF5D13-1B2F-48D9-80A9-A08EF7297169}" uniqueName="22" name="Postmix Lower Keg" queryTableFieldId="23" dataDxfId="227">
      <calculatedColumnFormula>IFERROR(INDEX('Postmix Lower Keg'!$F$2:$F$300,MATCH(A2,'Postmix Lower Keg'!$A$2:$A$300,0)),0)</calculatedColumnFormula>
    </tableColumn>
    <tableColumn id="23" xr3:uid="{61FB2699-4955-4B3E-83AE-4448DD6DA9D4}" uniqueName="23" name="Postmix TWR" queryTableFieldId="24" dataDxfId="226">
      <calculatedColumnFormula>IFERROR(INDEX('Postmix TWR'!$F$2:$F$300,MATCH(A2,'Postmix TWR'!$A$2:$A$300,0)),0)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EB152-2B3D-46FB-AE1E-5EE3759CB6C7}" name="Juice_Fridge" displayName="Juice_Fridge" ref="A1:L193" tableType="queryTable" totalsRowShown="0" headerRowDxfId="225" headerRowBorderDxfId="224" tableBorderDxfId="223" totalsRowBorderDxfId="222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B2498A78-1324-4161-92F9-14F86C0BB894}" uniqueName="3" name="Barcode" queryTableFieldId="3" dataDxfId="221"/>
    <tableColumn id="2" xr3:uid="{BDF8A540-D937-466A-A14C-AEE6228EE8B7}" uniqueName="2" name="Sub Category" queryTableFieldId="2" dataDxfId="220"/>
    <tableColumn id="1" xr3:uid="{E4FEDEAA-D3A6-49EE-80C7-270161364198}" uniqueName="1" name="Category" queryTableFieldId="1" dataDxfId="219"/>
    <tableColumn id="4" xr3:uid="{9C50A38A-7145-49F1-837C-A38C6CB4B48D}" uniqueName="4" name="Product Name" queryTableFieldId="4" dataDxfId="218"/>
    <tableColumn id="5" xr3:uid="{258E09C2-59B0-40F3-B7F5-15CBE5713696}" uniqueName="5" name="Carton Size" queryTableFieldId="5" dataDxfId="217"/>
    <tableColumn id="6" xr3:uid="{1A0E33D7-350E-4CAF-9F70-A5CEDAA9F638}" uniqueName="6" name="Total" queryTableFieldId="6" dataDxfId="216">
      <calculatedColumnFormula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calculatedColumnFormula>
    </tableColumn>
    <tableColumn id="7" xr3:uid="{1607A7B4-EBC6-4C19-8ED1-72C582601167}" uniqueName="7" name="Cartons" queryTableFieldId="7" dataDxfId="215"/>
    <tableColumn id="8" xr3:uid="{4052BD69-4B9C-4C07-8AF6-4AB76F3EF959}" uniqueName="8" name="Cartons2" queryTableFieldId="8" dataDxfId="214"/>
    <tableColumn id="9" xr3:uid="{44F0D7C4-AA71-44E0-A479-5384F726FCA0}" uniqueName="9" name="Cartons3" queryTableFieldId="9" dataDxfId="213"/>
    <tableColumn id="10" xr3:uid="{27127A20-3674-43F4-ACEF-C69EA12011E9}" uniqueName="10" name="Loose" queryTableFieldId="10" dataDxfId="212"/>
    <tableColumn id="11" xr3:uid="{1873C2D0-B5E2-4509-B435-C9A178CD9B46}" uniqueName="11" name="Loose2" queryTableFieldId="11" dataDxfId="211"/>
    <tableColumn id="12" xr3:uid="{FC1456F5-3B00-415F-A21A-350BDB621674}" uniqueName="12" name="Loose3" queryTableFieldId="12" dataDxfId="2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B9BA0E-CF78-45DD-B0F8-4B441A212CDD}" name="Upper_Keg" displayName="Upper_Keg" ref="A1:L193" tableType="queryTable" totalsRowShown="0" headerRowDxfId="209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EC911860-7AA0-4B4B-8B9B-57735B35D07E}" uniqueName="3" name="Barcode" queryTableFieldId="3" dataDxfId="208"/>
    <tableColumn id="2" xr3:uid="{95E9F471-4688-41ED-B3E2-632E6A43B6FA}" uniqueName="2" name="Sub Category" queryTableFieldId="2" dataDxfId="207"/>
    <tableColumn id="1" xr3:uid="{BE258233-59DC-477F-AA16-0A931E276D28}" uniqueName="1" name="Category" queryTableFieldId="1" dataDxfId="206"/>
    <tableColumn id="4" xr3:uid="{03B54A21-F66B-4FBD-9EE2-2F5D621C4C8D}" uniqueName="4" name="Product Name" queryTableFieldId="4" dataDxfId="205"/>
    <tableColumn id="5" xr3:uid="{231CA64F-FD68-478A-BC7F-0770FF5C511F}" uniqueName="5" name="Carton Size" queryTableFieldId="5" dataDxfId="204"/>
    <tableColumn id="6" xr3:uid="{B85145E9-10FF-493E-99E0-F70A047C4910}" uniqueName="6" name="Total" queryTableFieldId="6" dataDxfId="203">
      <calculatedColumnFormula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calculatedColumnFormula>
    </tableColumn>
    <tableColumn id="7" xr3:uid="{809DAFCB-E57B-45B1-AF3C-0E09BDDEE66A}" uniqueName="7" name="Cartons" queryTableFieldId="7" dataDxfId="202"/>
    <tableColumn id="8" xr3:uid="{9DE5AF8B-06B8-4736-A61F-681B8C1D7FC4}" uniqueName="8" name="Cartons2" queryTableFieldId="8" dataDxfId="201"/>
    <tableColumn id="9" xr3:uid="{640085A2-D0F0-49B4-A2A7-1348A4A21B70}" uniqueName="9" name="Cartons3" queryTableFieldId="9" dataDxfId="200"/>
    <tableColumn id="10" xr3:uid="{4ACB6541-D6F3-4AE9-9637-9737A85D959B}" uniqueName="10" name="Loose" queryTableFieldId="10" dataDxfId="199"/>
    <tableColumn id="11" xr3:uid="{9610E23F-47B5-48AF-AC22-D04E9074208A}" uniqueName="11" name="Loose2" queryTableFieldId="11" dataDxfId="198"/>
    <tableColumn id="12" xr3:uid="{81168E54-E1C2-4BFC-B29E-16167B9A0EEC}" uniqueName="12" name="Loose3" queryTableFieldId="12" dataDxfId="19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D78A64-DA09-461E-862F-BFFD67730B04}" name="Upper_Keg6" displayName="Upper_Keg6" ref="A1:L193" tableType="queryTable" totalsRowShown="0" headerRowDxfId="196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7CEF3F0E-B103-479E-81B7-1A5479AAB5D1}" uniqueName="3" name="Barcode" queryTableFieldId="3" dataDxfId="195"/>
    <tableColumn id="2" xr3:uid="{23E7A605-877D-4B59-B138-5E9DF6A252D8}" uniqueName="2" name="Sub Category" queryTableFieldId="2" dataDxfId="194"/>
    <tableColumn id="1" xr3:uid="{1559DA13-EDCF-401F-BBD4-FE79C2D5EAFF}" uniqueName="1" name="Category" queryTableFieldId="1" dataDxfId="193"/>
    <tableColumn id="4" xr3:uid="{C2A33FB9-9C98-43EA-A1E9-0F20564732B4}" uniqueName="4" name="Product Name" queryTableFieldId="4" dataDxfId="192"/>
    <tableColumn id="5" xr3:uid="{96167FAD-76A4-43B6-897B-E15D9232897A}" uniqueName="5" name="Carton Size" queryTableFieldId="5" dataDxfId="191"/>
    <tableColumn id="6" xr3:uid="{BDCFD5C2-300F-4CCD-A39F-2F091CBD7A76}" uniqueName="6" name="Total" queryTableFieldId="6" dataDxfId="190">
      <calculatedColumnFormula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calculatedColumnFormula>
    </tableColumn>
    <tableColumn id="7" xr3:uid="{4D111BA4-93B2-4F59-BE0A-AE97DC5F34E2}" uniqueName="7" name="Cartons" queryTableFieldId="7" dataDxfId="189"/>
    <tableColumn id="8" xr3:uid="{8BB397A0-6CCF-4340-83B9-137698274F62}" uniqueName="8" name="Cartons2" queryTableFieldId="8" dataDxfId="188"/>
    <tableColumn id="9" xr3:uid="{E433A44E-CD4D-4A55-823E-99C12DA536AE}" uniqueName="9" name="Cartons3" queryTableFieldId="9" dataDxfId="187"/>
    <tableColumn id="10" xr3:uid="{39C91EA2-7558-4CA0-86E7-E5E6BC0906BD}" uniqueName="10" name="Loose" queryTableFieldId="10" dataDxfId="186"/>
    <tableColumn id="11" xr3:uid="{B690454E-F4B3-43D1-8316-A93B3E3D8ECE}" uniqueName="11" name="Loose2" queryTableFieldId="11" dataDxfId="185"/>
    <tableColumn id="12" xr3:uid="{8801160B-1B88-44D4-894C-3A2D284F7C18}" uniqueName="12" name="Loose3" queryTableFieldId="12" dataDxfId="18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EBD9DF-2D83-4CB9-BCDD-74BC2DBBBF08}" name="GB1_Bar" displayName="GB1_Bar" ref="A1:L193" tableType="queryTable" totalsRowShown="0" headerRowDxfId="183">
  <autoFilter ref="A1:L193" xr:uid="{138EB152-2B3D-46FB-AE1E-5EE3759CB6C7}">
    <filterColumn colId="1">
      <filters>
        <filter val="APPERETIF"/>
        <filter val="BOURBON"/>
        <filter val="COGNAC IMP"/>
        <filter val="CORDIAL"/>
        <filter val="GIN"/>
        <filter val="LIQUEUR"/>
        <filter val="LIQUEUR AUS"/>
        <filter val="LIQUEUR IMP"/>
        <filter val="MIXER SUNDRY"/>
        <filter val="PORT"/>
        <filter val="RUM"/>
        <filter val="SPIRIT OTH"/>
        <filter val="VODKA"/>
        <filter val="WHISKEY"/>
      </filters>
    </filterColumn>
  </autoFilter>
  <sortState xmlns:xlrd2="http://schemas.microsoft.com/office/spreadsheetml/2017/richdata2" ref="A2:L193">
    <sortCondition ref="C1:C193"/>
  </sortState>
  <tableColumns count="12">
    <tableColumn id="3" xr3:uid="{FE20FDCC-D5D5-4CEF-A3F9-34C42D3B285C}" uniqueName="3" name="Barcode" queryTableFieldId="3" dataDxfId="182"/>
    <tableColumn id="2" xr3:uid="{8AFC78EB-EA94-451F-A30C-AE4F57CE6963}" uniqueName="2" name="Sub Category" queryTableFieldId="2" dataDxfId="181"/>
    <tableColumn id="1" xr3:uid="{9B48FDCC-165A-4263-830E-946E3EBA7B23}" uniqueName="1" name="Category" queryTableFieldId="1" dataDxfId="180"/>
    <tableColumn id="4" xr3:uid="{986DDF74-ED65-470D-A9CA-1C5C76A3C9D2}" uniqueName="4" name="Product Name" queryTableFieldId="4" dataDxfId="179"/>
    <tableColumn id="5" xr3:uid="{BCD2FF89-3708-477C-B9F7-2FA7BD7768C0}" uniqueName="5" name="Carton Size" queryTableFieldId="5" dataDxfId="178"/>
    <tableColumn id="6" xr3:uid="{540E7405-7C38-4B69-B4C1-E77928326321}" uniqueName="6" name="Total" queryTableFieldId="6" dataDxfId="177">
      <calculatedColumnFormula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calculatedColumnFormula>
    </tableColumn>
    <tableColumn id="7" xr3:uid="{A3726E3D-B371-4D00-A9B9-5800C613210F}" uniqueName="7" name="Cartons" queryTableFieldId="7" dataDxfId="176"/>
    <tableColumn id="8" xr3:uid="{E0D57224-E419-4E6E-9EE7-65385E91DD5D}" uniqueName="8" name="Cartons2" queryTableFieldId="8" dataDxfId="175"/>
    <tableColumn id="9" xr3:uid="{BC3B7699-3AF3-4189-B2A4-0299C4EDE0FE}" uniqueName="9" name="Cartons3" queryTableFieldId="9" dataDxfId="174"/>
    <tableColumn id="10" xr3:uid="{8FDE7D8B-12A4-442D-A8B9-5010717A2213}" uniqueName="10" name="Loose" queryTableFieldId="10" dataDxfId="173"/>
    <tableColumn id="11" xr3:uid="{5961D6C0-FD9F-4F7C-817D-176A5A9269DB}" uniqueName="11" name="Loose2" queryTableFieldId="11" dataDxfId="172"/>
    <tableColumn id="12" xr3:uid="{3515C8B9-ECEE-40D0-9450-AB9D290FF02A}" uniqueName="12" name="Loose3" queryTableFieldId="12" dataDxfId="17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55CE8C-F9D3-44DD-BF98-B61498D9BB53}" name="GB2_Bar" displayName="GB2_Bar" ref="A1:L193" tableType="queryTable" totalsRowShown="0" headerRowDxfId="170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6357D22F-C877-4543-ACAA-1BD6A959374B}" uniqueName="3" name="Barcode" queryTableFieldId="3" dataDxfId="169"/>
    <tableColumn id="2" xr3:uid="{5FC08522-B74E-4149-B02B-25C63E709566}" uniqueName="2" name="Sub Category" queryTableFieldId="2" dataDxfId="168"/>
    <tableColumn id="1" xr3:uid="{5266CF20-0D25-4BCA-97AA-1F6249644430}" uniqueName="1" name="Category" queryTableFieldId="1" dataDxfId="167"/>
    <tableColumn id="4" xr3:uid="{1891E539-250F-4295-BF55-8C197B1B08A5}" uniqueName="4" name="Product Name" queryTableFieldId="4" dataDxfId="166"/>
    <tableColumn id="5" xr3:uid="{68AB3809-5EC4-4FAF-8F2A-E37A966A6DAE}" uniqueName="5" name="Carton Size" queryTableFieldId="5" dataDxfId="165"/>
    <tableColumn id="6" xr3:uid="{B244E612-976D-46EC-8925-CEDD4627341E}" uniqueName="6" name="Total" queryTableFieldId="6" dataDxfId="164">
      <calculatedColumnFormula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calculatedColumnFormula>
    </tableColumn>
    <tableColumn id="7" xr3:uid="{9B88500C-3D44-40C2-AF1C-1B361CF29C62}" uniqueName="7" name="Cartons" queryTableFieldId="7" dataDxfId="163"/>
    <tableColumn id="8" xr3:uid="{9DB6A7FA-A3ED-465C-825C-ACED9523C0D9}" uniqueName="8" name="Cartons2" queryTableFieldId="8" dataDxfId="162"/>
    <tableColumn id="9" xr3:uid="{308488E2-F37A-4A3B-8626-669D76028902}" uniqueName="9" name="Cartons3" queryTableFieldId="9" dataDxfId="161"/>
    <tableColumn id="10" xr3:uid="{0C516CFF-388C-4BC1-B922-84B16BB91110}" uniqueName="10" name="Loose" queryTableFieldId="10" dataDxfId="160"/>
    <tableColumn id="11" xr3:uid="{48EECAF5-A89B-48CD-A507-81E1F234DB8B}" uniqueName="11" name="Loose2" queryTableFieldId="11" dataDxfId="159"/>
    <tableColumn id="12" xr3:uid="{E5E8A014-C10E-4AF5-A6CA-17DC30168160}" uniqueName="12" name="Loose3" queryTableFieldId="12" dataDxfId="15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944ACF-F1E0-412F-9749-7961A04BECAD}" name="CB1_Bar" displayName="CB1_Bar" ref="A1:L193" tableType="queryTable" totalsRowShown="0" headerRowDxfId="157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8E5E50E7-9336-4FB3-B995-3F62D1C32227}" uniqueName="3" name="Barcode" queryTableFieldId="3" dataDxfId="156"/>
    <tableColumn id="2" xr3:uid="{CC0C3700-E83D-45E3-B5F9-52F3B273FA57}" uniqueName="2" name="Sub Category" queryTableFieldId="2" dataDxfId="155"/>
    <tableColumn id="1" xr3:uid="{1C494DB6-28C9-4D58-A9BA-1C1804F4E510}" uniqueName="1" name="Category" queryTableFieldId="1" dataDxfId="154"/>
    <tableColumn id="4" xr3:uid="{D7BB210E-FE97-4A77-98D0-462C7DDC2676}" uniqueName="4" name="Product Name" queryTableFieldId="4" dataDxfId="153"/>
    <tableColumn id="5" xr3:uid="{B6A9B569-B0A9-4E52-9BC0-E9CE25E2EEDE}" uniqueName="5" name="Carton Size" queryTableFieldId="5" dataDxfId="152"/>
    <tableColumn id="6" xr3:uid="{FBEB0966-E44E-4928-AE35-781261FF59F0}" uniqueName="6" name="Total" queryTableFieldId="6" dataDxfId="151">
      <calculatedColumnFormula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calculatedColumnFormula>
    </tableColumn>
    <tableColumn id="7" xr3:uid="{64689C08-3DBE-42FC-9FAB-F852315F8825}" uniqueName="7" name="Cartons" queryTableFieldId="7" dataDxfId="150"/>
    <tableColumn id="8" xr3:uid="{44101CA5-EB6B-450E-B2E8-D48A3884770C}" uniqueName="8" name="Cartons2" queryTableFieldId="8" dataDxfId="149"/>
    <tableColumn id="9" xr3:uid="{BFFE03C5-981F-4043-A8E6-28237BEF9A3B}" uniqueName="9" name="Cartons3" queryTableFieldId="9" dataDxfId="148"/>
    <tableColumn id="10" xr3:uid="{EE0B34F1-96AF-4B7B-9CEA-3BC159863E1C}" uniqueName="10" name="Loose" queryTableFieldId="10" dataDxfId="147"/>
    <tableColumn id="11" xr3:uid="{25D564DE-549B-4998-A370-EF71D111498C}" uniqueName="11" name="Loose2" queryTableFieldId="11" dataDxfId="146"/>
    <tableColumn id="12" xr3:uid="{BF95BFC9-7D9F-4589-AEFD-18516F67489F}" uniqueName="12" name="Loose3" queryTableFieldId="12" dataDxfId="14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A01F4-A6FA-49E6-8E31-FE02E13D1830}" name="CB2_Bar" displayName="CB2_Bar" ref="A1:L193" tableType="queryTable" totalsRowShown="0" headerRowDxfId="144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A7FF86FE-52DF-431F-82F2-43FFC7ECC2EB}" uniqueName="3" name="Barcode" queryTableFieldId="3" dataDxfId="143"/>
    <tableColumn id="2" xr3:uid="{176A540A-748B-463F-9A46-031474802B4E}" uniqueName="2" name="Sub Category" queryTableFieldId="2" dataDxfId="142"/>
    <tableColumn id="1" xr3:uid="{66A7726C-0990-41BC-B176-0B1755C28B9B}" uniqueName="1" name="Category" queryTableFieldId="1" dataDxfId="141"/>
    <tableColumn id="4" xr3:uid="{5C2ADA10-8FA0-45A1-9F21-987C685CCE4C}" uniqueName="4" name="Product Name" queryTableFieldId="4" dataDxfId="140"/>
    <tableColumn id="5" xr3:uid="{47453350-1371-4E5A-BC10-B282206F0DC6}" uniqueName="5" name="Carton Size" queryTableFieldId="5" dataDxfId="139"/>
    <tableColumn id="6" xr3:uid="{FC71D980-F79A-4EC7-B858-E228FB64FA01}" uniqueName="6" name="Total" queryTableFieldId="6" dataDxfId="138">
      <calculatedColumnFormula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calculatedColumnFormula>
    </tableColumn>
    <tableColumn id="7" xr3:uid="{0684B23D-98E6-4CA7-B689-F13A8A0C0E30}" uniqueName="7" name="Cartons" queryTableFieldId="7" dataDxfId="137"/>
    <tableColumn id="8" xr3:uid="{91F5E9DE-D281-4F92-8395-77EFA4C3E85D}" uniqueName="8" name="Cartons2" queryTableFieldId="8" dataDxfId="136"/>
    <tableColumn id="9" xr3:uid="{D28F8F35-762F-4A9B-9206-0117853DB27F}" uniqueName="9" name="Cartons3" queryTableFieldId="9" dataDxfId="135"/>
    <tableColumn id="10" xr3:uid="{8F37C2FB-AEA4-4372-8E72-B9DC7FCF8C71}" uniqueName="10" name="Loose" queryTableFieldId="10" dataDxfId="134"/>
    <tableColumn id="11" xr3:uid="{AEF5EF13-021B-48B8-B581-5BCE11CD0D3C}" uniqueName="11" name="Loose2" queryTableFieldId="11" dataDxfId="133"/>
    <tableColumn id="12" xr3:uid="{66824638-984C-4459-9C93-D13E8FF73155}" uniqueName="12" name="Loose3" queryTableFieldId="12" dataDxfId="1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75FFFC-F7D4-4B4E-8625-895188DDDD32}" name="CB3_Bar" displayName="CB3_Bar" ref="A1:L193" tableType="queryTable" totalsRowShown="0" headerRowDxfId="131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E5A01CF1-2BEF-43E9-ADA9-3AC21A6BD290}" uniqueName="3" name="Barcode" queryTableFieldId="3" dataDxfId="130"/>
    <tableColumn id="2" xr3:uid="{26CD27A3-1891-475C-8E00-3A7DE3F4AFB6}" uniqueName="2" name="Sub Category" queryTableFieldId="2" dataDxfId="129"/>
    <tableColumn id="1" xr3:uid="{0EF9733D-FA79-42CF-B1AF-35B6DE22F944}" uniqueName="1" name="Category" queryTableFieldId="1" dataDxfId="128"/>
    <tableColumn id="4" xr3:uid="{4F97F0D9-F28E-410E-A108-D27AFA134134}" uniqueName="4" name="Product Name" queryTableFieldId="4" dataDxfId="127"/>
    <tableColumn id="5" xr3:uid="{33DA01E4-3D0F-4C1E-B33A-4F139A49F731}" uniqueName="5" name="Carton Size" queryTableFieldId="5" dataDxfId="126"/>
    <tableColumn id="6" xr3:uid="{2EB07836-8C0F-42DD-8080-056880F80AE2}" uniqueName="6" name="Total" queryTableFieldId="6" dataDxfId="125">
      <calculatedColumnFormula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calculatedColumnFormula>
    </tableColumn>
    <tableColumn id="7" xr3:uid="{9001BF25-B636-4CEF-A189-AB7C642F517E}" uniqueName="7" name="Cartons" queryTableFieldId="7" dataDxfId="124"/>
    <tableColumn id="8" xr3:uid="{13400EF8-6014-4A40-8A08-76ACB50EC4F9}" uniqueName="8" name="Cartons2" queryTableFieldId="8" dataDxfId="123"/>
    <tableColumn id="9" xr3:uid="{D53E4685-9EC5-4843-B868-2C48C29B9450}" uniqueName="9" name="Cartons3" queryTableFieldId="9" dataDxfId="122"/>
    <tableColumn id="10" xr3:uid="{446469D1-CAC3-4FE2-BDE4-3AB4A6781D4B}" uniqueName="10" name="Loose" queryTableFieldId="10" dataDxfId="121"/>
    <tableColumn id="11" xr3:uid="{786B2596-9CC3-4277-B773-975B20CBB02E}" uniqueName="11" name="Loose2" queryTableFieldId="11" dataDxfId="120"/>
    <tableColumn id="12" xr3:uid="{4F33D285-F3D7-4A15-8AE5-7991CC8E2983}" uniqueName="12" name="Loose3" queryTableFieldId="12" dataDxfId="1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EB43BB-0831-414B-8F68-A12A9D37CB8B}" name="Spirits_Room" displayName="Spirits_Room" ref="A1:L193" tableType="queryTable" totalsRowShown="0" headerRowDxfId="118">
  <autoFilter ref="A1:L193" xr:uid="{138EB152-2B3D-46FB-AE1E-5EE3759CB6C7}">
    <filterColumn colId="2">
      <filters>
        <filter val="FORTIFIED/DESSERT WINE"/>
        <filter val="RED WINE"/>
        <filter val="SPIRITS"/>
      </filters>
    </filterColumn>
  </autoFilter>
  <sortState xmlns:xlrd2="http://schemas.microsoft.com/office/spreadsheetml/2017/richdata2" ref="A2:L193">
    <sortCondition ref="C1:C193"/>
  </sortState>
  <tableColumns count="12">
    <tableColumn id="3" xr3:uid="{190B591A-0F35-42B0-B12C-685157EA444A}" uniqueName="3" name="Barcode" queryTableFieldId="3" dataDxfId="117"/>
    <tableColumn id="2" xr3:uid="{7D306CA0-307B-4BA8-ADEB-4041BA441EEE}" uniqueName="2" name="Sub Category" queryTableFieldId="2" dataDxfId="116"/>
    <tableColumn id="1" xr3:uid="{EAA37938-F76D-45D7-8E0D-FDEA02AD5B81}" uniqueName="1" name="Category" queryTableFieldId="1" dataDxfId="115"/>
    <tableColumn id="4" xr3:uid="{E7813E4C-7292-4671-953B-2C7DE4785B8A}" uniqueName="4" name="Product Name" queryTableFieldId="4" dataDxfId="114"/>
    <tableColumn id="5" xr3:uid="{5859DF15-A4E4-4012-B1AC-13BF1DBFC03C}" uniqueName="5" name="Carton Size" queryTableFieldId="5" dataDxfId="113"/>
    <tableColumn id="6" xr3:uid="{CE6B274F-BDBD-4EA3-B6DC-64DBC6958E18}" uniqueName="6" name="Total" queryTableFieldId="6" dataDxfId="112">
      <calculatedColumnFormula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calculatedColumnFormula>
    </tableColumn>
    <tableColumn id="7" xr3:uid="{51A26847-13B1-471D-AC39-F11021A273A9}" uniqueName="7" name="Cartons" queryTableFieldId="7" dataDxfId="111"/>
    <tableColumn id="8" xr3:uid="{8C3035E0-1F4B-4403-BD96-BAFE350D4656}" uniqueName="8" name="Cartons2" queryTableFieldId="8" dataDxfId="110"/>
    <tableColumn id="9" xr3:uid="{12C5A4A3-AAAC-4BA7-B017-F8058D67F999}" uniqueName="9" name="Cartons3" queryTableFieldId="9" dataDxfId="109"/>
    <tableColumn id="10" xr3:uid="{04748237-9837-41A2-B689-F28FCC728020}" uniqueName="10" name="Loose" queryTableFieldId="10" dataDxfId="108"/>
    <tableColumn id="11" xr3:uid="{49375701-407B-43FA-95E7-10210B4CD1BD}" uniqueName="11" name="Loose2" queryTableFieldId="11" dataDxfId="107"/>
    <tableColumn id="12" xr3:uid="{0CDC6CDB-9097-4B06-B9F7-58978194ABDB}" uniqueName="12" name="Loose3" queryTableFieldId="12" dataDxfId="10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F116CA-CF5B-41DE-B4A9-085C616AA658}" name="White_Wine_Fridge" displayName="White_Wine_Fridge" ref="A1:L193" tableType="queryTable" totalsRowShown="0" headerRowDxfId="105">
  <autoFilter ref="A1:L193" xr:uid="{138EB152-2B3D-46FB-AE1E-5EE3759CB6C7}">
    <filterColumn colId="2">
      <filters>
        <filter val="FORTIFIED/DESSERT WINE"/>
        <filter val="SPARKLING"/>
        <filter val="WHITE WINE"/>
      </filters>
    </filterColumn>
  </autoFilter>
  <sortState xmlns:xlrd2="http://schemas.microsoft.com/office/spreadsheetml/2017/richdata2" ref="A2:L193">
    <sortCondition ref="C1:C193"/>
  </sortState>
  <tableColumns count="12">
    <tableColumn id="3" xr3:uid="{68F213F1-9338-4422-B8AF-7D810B2AD0F2}" uniqueName="3" name="Barcode" queryTableFieldId="3" dataDxfId="104"/>
    <tableColumn id="2" xr3:uid="{E0C9CCAC-C8F1-43FC-BF58-4F0F31F4D6B3}" uniqueName="2" name="Sub Category" queryTableFieldId="2" dataDxfId="103"/>
    <tableColumn id="1" xr3:uid="{EF340EBA-6F44-4283-A4AD-ACD44D35DCDB}" uniqueName="1" name="Category" queryTableFieldId="1" dataDxfId="102"/>
    <tableColumn id="4" xr3:uid="{57AE0BFD-EAA2-4498-9251-10C0DFF3B5E3}" uniqueName="4" name="Product Name" queryTableFieldId="4" dataDxfId="101"/>
    <tableColumn id="5" xr3:uid="{3B1D967E-49BE-41EC-BF5F-5710A93CA885}" uniqueName="5" name="Carton Size" queryTableFieldId="5" dataDxfId="100"/>
    <tableColumn id="6" xr3:uid="{10F6A79F-606D-43DD-A3AA-A16D5A0CE040}" uniqueName="6" name="Total" queryTableFieldId="6" dataDxfId="99">
      <calculatedColumnFormula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calculatedColumnFormula>
    </tableColumn>
    <tableColumn id="7" xr3:uid="{9DA5359C-1F8A-4D27-8A7D-43C7039F3746}" uniqueName="7" name="Cartons" queryTableFieldId="7" dataDxfId="98"/>
    <tableColumn id="8" xr3:uid="{0D192138-566C-491F-84E6-F3362266014C}" uniqueName="8" name="Cartons2" queryTableFieldId="8" dataDxfId="97"/>
    <tableColumn id="9" xr3:uid="{B5EA951C-A361-4784-820A-B1B0CAC99F6C}" uniqueName="9" name="Cartons3" queryTableFieldId="9" dataDxfId="96"/>
    <tableColumn id="10" xr3:uid="{8D88C554-D9DD-43F8-9E46-2D5FC20EB605}" uniqueName="10" name="Loose" queryTableFieldId="10" dataDxfId="95"/>
    <tableColumn id="11" xr3:uid="{A8EF2152-3974-4FED-8FB4-EB9652ABE4C5}" uniqueName="11" name="Loose2" queryTableFieldId="11" dataDxfId="94"/>
    <tableColumn id="12" xr3:uid="{A52035DF-7D00-4096-AEB3-EC640F8981B3}" uniqueName="12" name="Loose3" queryTableFieldId="12" dataDxfId="9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4AA797-4B2B-4B6D-A2F1-B0021C72E980}" name="Lower_Keg" displayName="Lower_Keg" ref="A1:L193" tableType="queryTable" totalsRowShown="0" headerRowDxfId="92">
  <autoFilter ref="A1:L193" xr:uid="{138EB152-2B3D-46FB-AE1E-5EE3759CB6C7}">
    <filterColumn colId="2">
      <filters>
        <filter val="BEER"/>
        <filter val="SPARKLING"/>
        <filter val="WHITE WINE"/>
      </filters>
    </filterColumn>
  </autoFilter>
  <sortState xmlns:xlrd2="http://schemas.microsoft.com/office/spreadsheetml/2017/richdata2" ref="A2:L193">
    <sortCondition ref="C1:C193"/>
  </sortState>
  <tableColumns count="12">
    <tableColumn id="3" xr3:uid="{2748B088-2DCA-47B6-8147-4D7F62D258D8}" uniqueName="3" name="Barcode" queryTableFieldId="3" dataDxfId="91"/>
    <tableColumn id="2" xr3:uid="{C9BC34EB-63CA-4FEA-B547-19B4704E8669}" uniqueName="2" name="Sub Category" queryTableFieldId="2" dataDxfId="90"/>
    <tableColumn id="1" xr3:uid="{C447D33A-4ED3-43E2-A214-6FBC64E49301}" uniqueName="1" name="Category" queryTableFieldId="1" dataDxfId="89"/>
    <tableColumn id="4" xr3:uid="{D5F08C1C-526A-4C10-BF95-33F353D8B5AC}" uniqueName="4" name="Product Name" queryTableFieldId="4" dataDxfId="88"/>
    <tableColumn id="5" xr3:uid="{BEE2D404-547D-465E-AE1F-B34B46A24054}" uniqueName="5" name="Carton Size" queryTableFieldId="5" dataDxfId="87"/>
    <tableColumn id="6" xr3:uid="{25279DBF-A548-4CCD-88FC-73DA3A93C2DD}" uniqueName="6" name="Total" queryTableFieldId="6" dataDxfId="86">
      <calculatedColumnFormula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calculatedColumnFormula>
    </tableColumn>
    <tableColumn id="7" xr3:uid="{1EEBFC8F-A938-48B6-AA72-407984A63AAA}" uniqueName="7" name="Cartons" queryTableFieldId="7" dataDxfId="85"/>
    <tableColumn id="8" xr3:uid="{6B260750-07B7-4C3B-B770-FAB0590957C1}" uniqueName="8" name="Cartons2" queryTableFieldId="8" dataDxfId="84"/>
    <tableColumn id="9" xr3:uid="{DA93AE12-5441-4CCA-BCCF-9E648BE256C9}" uniqueName="9" name="Cartons3" queryTableFieldId="9" dataDxfId="83"/>
    <tableColumn id="10" xr3:uid="{CDE2C703-328E-4CE5-A613-74D196B0056B}" uniqueName="10" name="Loose" queryTableFieldId="10" dataDxfId="82"/>
    <tableColumn id="11" xr3:uid="{31E0ADE3-290E-4B33-9AD7-A8A70251DE17}" uniqueName="11" name="Loose2" queryTableFieldId="11" dataDxfId="81"/>
    <tableColumn id="12" xr3:uid="{7E93A36E-E76B-44E0-8470-1AA606854168}" uniqueName="12" name="Loose3" queryTableFieldId="12" dataDxfId="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7CB0B5-9C2C-49CA-B377-AABFA2F5AB34}" name="Botanical_Storeroom" displayName="Botanical_Storeroom" ref="A1:L193" tableType="queryTable" totalsRowShown="0" headerRowDxfId="79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D81621EA-CC7F-43C2-A70B-5AF34903A4AC}" uniqueName="3" name="Barcode" queryTableFieldId="3" dataDxfId="78"/>
    <tableColumn id="2" xr3:uid="{F1D52A2F-2179-4346-BFAB-F5730A813F09}" uniqueName="2" name="Sub Category" queryTableFieldId="2" dataDxfId="77"/>
    <tableColumn id="1" xr3:uid="{3D2574A2-1B31-4D65-92B2-5676495502A9}" uniqueName="1" name="Category" queryTableFieldId="1" dataDxfId="76"/>
    <tableColumn id="4" xr3:uid="{813604C9-7BA6-443F-A3FC-DD50E87C1CCD}" uniqueName="4" name="Product Name" queryTableFieldId="4" dataDxfId="75"/>
    <tableColumn id="5" xr3:uid="{F5444595-2DE1-4145-80AF-D1132067F472}" uniqueName="5" name="Carton Size" queryTableFieldId="5" dataDxfId="74"/>
    <tableColumn id="6" xr3:uid="{CF3EE08B-2102-497C-9B57-FABFCDA0DA9B}" uniqueName="6" name="Total" queryTableFieldId="6" dataDxfId="73">
      <calculatedColumnFormula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calculatedColumnFormula>
    </tableColumn>
    <tableColumn id="7" xr3:uid="{CAB362C9-4D40-4116-A594-970A7BF5EA64}" uniqueName="7" name="Cartons" queryTableFieldId="7" dataDxfId="72"/>
    <tableColumn id="8" xr3:uid="{631C8939-5000-4839-9504-C10BDDC5F3BC}" uniqueName="8" name="Cartons2" queryTableFieldId="8" dataDxfId="71"/>
    <tableColumn id="9" xr3:uid="{5D5AD225-05B0-4AB7-9945-008C7ED01515}" uniqueName="9" name="Cartons3" queryTableFieldId="9" dataDxfId="70"/>
    <tableColumn id="10" xr3:uid="{89015116-F4DC-4E5F-A0DA-3754FBFBB40D}" uniqueName="10" name="Loose" queryTableFieldId="10" dataDxfId="69"/>
    <tableColumn id="11" xr3:uid="{574AAC10-4466-443A-BC7A-582BE38C5D34}" uniqueName="11" name="Loose2" queryTableFieldId="11" dataDxfId="68"/>
    <tableColumn id="12" xr3:uid="{62FFD1E8-6DB4-4798-9D3A-EA468B145F94}" uniqueName="12" name="Loose3" queryTableFieldId="12" dataDxfId="6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CED24CC-A937-4582-99B5-0C6497A5853C}" name="Botanical_Bar" displayName="Botanical_Bar" ref="A1:L193" tableType="queryTable" totalsRowShown="0" headerRowDxfId="66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937DD56F-0E6A-45DA-894F-BFBFEF0FE32E}" uniqueName="3" name="Barcode" queryTableFieldId="3" dataDxfId="65"/>
    <tableColumn id="2" xr3:uid="{FC93DC32-B63F-45E7-AE08-7BD33F18D301}" uniqueName="2" name="Sub Category" queryTableFieldId="2" dataDxfId="64"/>
    <tableColumn id="1" xr3:uid="{6A44A177-7433-4384-B821-15AB2894C11C}" uniqueName="1" name="Category" queryTableFieldId="1" dataDxfId="63"/>
    <tableColumn id="4" xr3:uid="{AC4D5715-C94C-4CB7-A5A3-FB01A42A4E8F}" uniqueName="4" name="Product Name" queryTableFieldId="4" dataDxfId="62"/>
    <tableColumn id="5" xr3:uid="{DD020E1B-EA8F-44ED-B99A-0A6331DA0C8B}" uniqueName="5" name="Carton Size" queryTableFieldId="5" dataDxfId="61"/>
    <tableColumn id="6" xr3:uid="{1952F9BD-386F-49AF-9458-A6A4A910FCBB}" uniqueName="6" name="Total" queryTableFieldId="6" dataDxfId="60">
      <calculatedColumnFormula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calculatedColumnFormula>
    </tableColumn>
    <tableColumn id="7" xr3:uid="{C51EC8A2-8826-463B-91C1-D77EB82B5DB5}" uniqueName="7" name="Cartons" queryTableFieldId="7" dataDxfId="59"/>
    <tableColumn id="8" xr3:uid="{AFAFBA1C-2902-4E59-A552-69165BB5B11F}" uniqueName="8" name="Cartons2" queryTableFieldId="8" dataDxfId="58"/>
    <tableColumn id="9" xr3:uid="{98620E25-9670-4A81-A492-9CF73849867F}" uniqueName="9" name="Cartons3" queryTableFieldId="9" dataDxfId="57"/>
    <tableColumn id="10" xr3:uid="{AC77D350-6D4E-4B89-BBB1-534A9590B2B0}" uniqueName="10" name="Loose" queryTableFieldId="10" dataDxfId="56"/>
    <tableColumn id="11" xr3:uid="{35736BC9-928C-432B-800F-6369666083D2}" uniqueName="11" name="Loose2" queryTableFieldId="11" dataDxfId="55"/>
    <tableColumn id="12" xr3:uid="{14840DE9-1ABD-4516-ACE2-CAA412BD8BEB}" uniqueName="12" name="Loose3" queryTableFieldId="12" dataDxfId="5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970BB5-DA44-48D5-89AD-5987416103C1}" name="Loading_Dock_Fridge" displayName="Loading_Dock_Fridge" ref="A1:L193" tableType="queryTable" totalsRowShown="0" headerRowDxfId="53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711B21F3-E8DC-46F5-85B6-43EFEE93E67F}" uniqueName="3" name="Barcode" queryTableFieldId="3" dataDxfId="52"/>
    <tableColumn id="2" xr3:uid="{357C905E-512B-4D14-A4C1-FF7506AABE61}" uniqueName="2" name="Sub Category" queryTableFieldId="2" dataDxfId="51"/>
    <tableColumn id="1" xr3:uid="{50D91DD5-47FE-4FEB-8D59-E72C68D424F0}" uniqueName="1" name="Category" queryTableFieldId="1" dataDxfId="50"/>
    <tableColumn id="4" xr3:uid="{B4AD735C-3E5E-49C2-8D16-D4C02245F4D4}" uniqueName="4" name="Product Name" queryTableFieldId="4" dataDxfId="49"/>
    <tableColumn id="5" xr3:uid="{6E71853E-0D33-4A2C-9F76-AF304FF4DAEE}" uniqueName="5" name="Carton Size" queryTableFieldId="5" dataDxfId="48"/>
    <tableColumn id="6" xr3:uid="{07DAC66F-CEED-404F-8562-BF7C05638E46}" uniqueName="6" name="Total" queryTableFieldId="6" dataDxfId="47">
      <calculatedColumnFormula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calculatedColumnFormula>
    </tableColumn>
    <tableColumn id="7" xr3:uid="{224BFDE7-5068-4610-80B6-6674DEAF71E3}" uniqueName="7" name="Cartons" queryTableFieldId="7" dataDxfId="46"/>
    <tableColumn id="8" xr3:uid="{6CA7236F-583F-482E-A723-CD5F4D06C6A0}" uniqueName="8" name="Cartons2" queryTableFieldId="8" dataDxfId="45"/>
    <tableColumn id="9" xr3:uid="{F2F8C110-84D8-48B2-A8BC-9292FA21B601}" uniqueName="9" name="Cartons3" queryTableFieldId="9" dataDxfId="44"/>
    <tableColumn id="10" xr3:uid="{C241041E-FF21-4018-8696-138E8DE0E551}" uniqueName="10" name="Loose" queryTableFieldId="10" dataDxfId="43"/>
    <tableColumn id="11" xr3:uid="{E2210C54-6724-4F2F-83BA-50CF482A9DEC}" uniqueName="11" name="Loose2" queryTableFieldId="11" dataDxfId="42"/>
    <tableColumn id="12" xr3:uid="{EE7393F1-1A89-4C3A-B677-BDC9F19BEE9A}" uniqueName="12" name="Loose3" queryTableFieldId="12" dataDxfId="4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88357B-5BCC-46E3-96AC-6C3A1B2D26BC}" name="Postmix_Loading_Dock" displayName="Postmix_Loading_Dock" ref="A1:L193" tableType="queryTable" totalsRowShown="0" headerRowDxfId="40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86ED9BD7-1977-48DF-9265-632AF0BBC29B}" uniqueName="3" name="Barcode" queryTableFieldId="3" dataDxfId="39"/>
    <tableColumn id="2" xr3:uid="{3A4ACE6B-50D2-4B6D-A6B1-A9355432BDEF}" uniqueName="2" name="Sub Category" queryTableFieldId="2" dataDxfId="38"/>
    <tableColumn id="1" xr3:uid="{F1E8884D-1B6D-4C0D-BC1A-C14E790C9254}" uniqueName="1" name="Category" queryTableFieldId="1" dataDxfId="37"/>
    <tableColumn id="4" xr3:uid="{F4157E06-B86C-4BE9-932D-60B2A19CEF5B}" uniqueName="4" name="Product Name" queryTableFieldId="4" dataDxfId="36"/>
    <tableColumn id="5" xr3:uid="{25545BCD-9CD5-49E1-95C6-89ADE9038A54}" uniqueName="5" name="Carton Size" queryTableFieldId="5" dataDxfId="35"/>
    <tableColumn id="6" xr3:uid="{73B7CAC4-B30F-49C6-9042-D509094FE696}" uniqueName="6" name="Total" queryTableFieldId="6" dataDxfId="34">
      <calculatedColumnFormula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calculatedColumnFormula>
    </tableColumn>
    <tableColumn id="7" xr3:uid="{24947A57-8689-4FC7-9F6B-FFD936C30A18}" uniqueName="7" name="Cartons" queryTableFieldId="7" dataDxfId="33"/>
    <tableColumn id="8" xr3:uid="{E65FA81E-1A1A-4A97-B6B8-9081AD0AF3EC}" uniqueName="8" name="Cartons2" queryTableFieldId="8" dataDxfId="32"/>
    <tableColumn id="9" xr3:uid="{C6522069-2741-4CEC-9B1B-24AE3C3D0A37}" uniqueName="9" name="Cartons3" queryTableFieldId="9" dataDxfId="31"/>
    <tableColumn id="10" xr3:uid="{30692DD3-3E27-4A7A-9445-226CD4369848}" uniqueName="10" name="Loose" queryTableFieldId="10" dataDxfId="30"/>
    <tableColumn id="11" xr3:uid="{E1128601-74FE-4BA5-B32D-98EA63143497}" uniqueName="11" name="Loose2" queryTableFieldId="11" dataDxfId="29"/>
    <tableColumn id="12" xr3:uid="{6CF52478-66C9-469F-AEF9-8BE54AE7868A}" uniqueName="12" name="Loose3" queryTableFieldId="12" dataDxfId="2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F8FD6-6139-4F15-86D5-5B78DCA5CCEE}" name="Postmix_Lower_Keg" displayName="Postmix_Lower_Keg" ref="A1:L193" tableType="queryTable" totalsRowShown="0" headerRowDxfId="27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B5D59DEB-971D-4D78-9F8C-ACD36642954E}" uniqueName="3" name="Barcode" queryTableFieldId="3" dataDxfId="26"/>
    <tableColumn id="2" xr3:uid="{EDAAAC7A-AC1B-440C-80AD-784EDF5424DE}" uniqueName="2" name="Sub Category" queryTableFieldId="2" dataDxfId="25"/>
    <tableColumn id="1" xr3:uid="{8964BD33-668F-4FFF-B6D9-6AA32722C3CB}" uniqueName="1" name="Category" queryTableFieldId="1" dataDxfId="24"/>
    <tableColumn id="4" xr3:uid="{986B9CBC-262D-4966-B170-A0846C09C079}" uniqueName="4" name="Product Name" queryTableFieldId="4" dataDxfId="23"/>
    <tableColumn id="5" xr3:uid="{DC9BA598-1B35-4718-A6AC-7E9E0C2C7576}" uniqueName="5" name="Carton Size" queryTableFieldId="5" dataDxfId="22"/>
    <tableColumn id="6" xr3:uid="{24DB7C51-2266-46F6-B556-8E3BF3660C02}" uniqueName="6" name="Total" queryTableFieldId="6" dataDxfId="21">
      <calculatedColumnFormula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calculatedColumnFormula>
    </tableColumn>
    <tableColumn id="7" xr3:uid="{0951EBF9-0CC1-461F-AF7A-5432FAB39B93}" uniqueName="7" name="Cartons" queryTableFieldId="7" dataDxfId="20"/>
    <tableColumn id="8" xr3:uid="{752630F8-27F7-422B-AE31-53AC20982468}" uniqueName="8" name="Cartons2" queryTableFieldId="8" dataDxfId="19"/>
    <tableColumn id="9" xr3:uid="{9C303E1F-4552-47FE-AF82-6C1CDC935326}" uniqueName="9" name="Cartons3" queryTableFieldId="9" dataDxfId="18"/>
    <tableColumn id="10" xr3:uid="{E290654B-C20F-4FCF-9C9C-6C1C5347BE3A}" uniqueName="10" name="Loose" queryTableFieldId="10" dataDxfId="17"/>
    <tableColumn id="11" xr3:uid="{BE237EA4-71F6-495D-B4C5-4F068F504DCF}" uniqueName="11" name="Loose2" queryTableFieldId="11" dataDxfId="16"/>
    <tableColumn id="12" xr3:uid="{D531429B-E300-4C87-8832-F619DE58E8BF}" uniqueName="12" name="Loose3" queryTableFieldId="12" dataDxfId="1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5FFC060-1A63-4C47-8711-0B21D7EA4371}" name="Postmix_TWR" displayName="Postmix_TWR" ref="A1:L193" tableType="queryTable" totalsRowShown="0" headerRowDxfId="14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7DD0310E-BEB9-4129-B6AF-ED8ECDAA5DE2}" uniqueName="3" name="Barcode" queryTableFieldId="3" dataDxfId="13"/>
    <tableColumn id="2" xr3:uid="{45EF2A06-8E0F-439A-9D2E-E75B0C684033}" uniqueName="2" name="Sub Category" queryTableFieldId="2" dataDxfId="12"/>
    <tableColumn id="1" xr3:uid="{970E6291-A412-47BB-8A01-EC0772F48356}" uniqueName="1" name="Category" queryTableFieldId="1" dataDxfId="11"/>
    <tableColumn id="4" xr3:uid="{89C99DC3-209A-436B-9ADB-75DDEE7E5074}" uniqueName="4" name="Product Name" queryTableFieldId="4" dataDxfId="10"/>
    <tableColumn id="5" xr3:uid="{64A0AC99-DEEA-464D-A5C8-73AD50FA7D29}" uniqueName="5" name="Carton Size" queryTableFieldId="5" dataDxfId="9"/>
    <tableColumn id="6" xr3:uid="{B5277CA9-1867-4CC3-927A-61CB213A2257}" uniqueName="6" name="Total" queryTableFieldId="6" dataDxfId="8">
      <calculatedColumnFormula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calculatedColumnFormula>
    </tableColumn>
    <tableColumn id="7" xr3:uid="{A449F60D-740C-4557-B1BF-B0C06B2F7097}" uniqueName="7" name="Cartons" queryTableFieldId="7" dataDxfId="7"/>
    <tableColumn id="8" xr3:uid="{54FAC1C7-3397-44AA-9085-67185B97A8A5}" uniqueName="8" name="Cartons2" queryTableFieldId="8" dataDxfId="6"/>
    <tableColumn id="9" xr3:uid="{B3BA94A3-3E2C-43A3-9B88-623AA30079E4}" uniqueName="9" name="Cartons3" queryTableFieldId="9" dataDxfId="5"/>
    <tableColumn id="10" xr3:uid="{3C38D05C-6BBD-4044-BA5F-52130666AB0E}" uniqueName="10" name="Loose" queryTableFieldId="10" dataDxfId="4"/>
    <tableColumn id="11" xr3:uid="{8B998032-2B67-4245-AA6B-89EA1C730D77}" uniqueName="11" name="Loose2" queryTableFieldId="11" dataDxfId="3"/>
    <tableColumn id="12" xr3:uid="{A884684B-2029-4510-969C-9AA228DF5419}" uniqueName="12" name="Loose3" queryTableFieldId="12" dataDxf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484C-44F5-42C4-8D39-DE79312C5605}" name="Table1" displayName="Table1" ref="A1:E193" totalsRowShown="0" headerRowDxfId="1">
  <autoFilter ref="A1:E193" xr:uid="{3405484C-44F5-42C4-8D39-DE79312C5605}"/>
  <sortState xmlns:xlrd2="http://schemas.microsoft.com/office/spreadsheetml/2017/richdata2" ref="A2:E193">
    <sortCondition ref="C1:C193"/>
  </sortState>
  <tableColumns count="5">
    <tableColumn id="3" xr3:uid="{68529389-6403-45DE-997E-182E86053452}" name="Barcode" dataDxfId="0"/>
    <tableColumn id="2" xr3:uid="{D829108E-68BC-40A0-9172-C295B7170AC1}" name="Sub Category"/>
    <tableColumn id="1" xr3:uid="{BDF651FC-A6F9-4DFD-8A39-0993CE99202F}" name="Category"/>
    <tableColumn id="4" xr3:uid="{AEE505C9-273D-4BC2-9A8B-AFDF64AD6678}" name="Product Name"/>
    <tableColumn id="5" xr3:uid="{AB6811AD-62DF-4E45-8629-A6A9E0398353}" name="Carton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9B0B-1D76-42D8-981F-8D805A3A97D2}">
  <sheetPr codeName="Sheet1"/>
  <dimension ref="A1:W193"/>
  <sheetViews>
    <sheetView workbookViewId="0">
      <pane ySplit="1" topLeftCell="A2" activePane="bottomLeft" state="frozen"/>
      <selection activeCell="D1" sqref="D1"/>
      <selection pane="bottomLeft" activeCell="B1" sqref="B1"/>
    </sheetView>
  </sheetViews>
  <sheetFormatPr defaultRowHeight="18" x14ac:dyDescent="0.35"/>
  <cols>
    <col min="1" max="1" width="10.6640625" bestFit="1" customWidth="1"/>
    <col min="2" max="2" width="17.5546875" bestFit="1" customWidth="1"/>
    <col min="3" max="3" width="23.88671875" bestFit="1" customWidth="1"/>
    <col min="4" max="4" width="65.33203125" bestFit="1" customWidth="1"/>
    <col min="5" max="5" width="9.5546875" style="19" bestFit="1" customWidth="1"/>
    <col min="6" max="6" width="10.33203125" style="22" bestFit="1" customWidth="1"/>
    <col min="7" max="7" width="9" bestFit="1" customWidth="1"/>
    <col min="8" max="8" width="8.88671875" bestFit="1" customWidth="1"/>
    <col min="9" max="9" width="8.5546875" bestFit="1" customWidth="1"/>
    <col min="10" max="14" width="7" bestFit="1" customWidth="1"/>
    <col min="15" max="15" width="9.33203125" bestFit="1" customWidth="1"/>
    <col min="16" max="16" width="9" bestFit="1" customWidth="1"/>
    <col min="17" max="17" width="8.88671875" bestFit="1" customWidth="1"/>
    <col min="18" max="18" width="13" bestFit="1" customWidth="1"/>
    <col min="19" max="19" width="11.5546875" bestFit="1" customWidth="1"/>
    <col min="20" max="20" width="10.33203125" bestFit="1" customWidth="1"/>
    <col min="21" max="21" width="10.6640625" bestFit="1" customWidth="1"/>
    <col min="22" max="22" width="12.44140625" bestFit="1" customWidth="1"/>
    <col min="23" max="23" width="10.6640625" bestFit="1" customWidth="1"/>
  </cols>
  <sheetData>
    <row r="1" spans="1:23" s="4" customFormat="1" ht="43.8" x14ac:dyDescent="0.35">
      <c r="A1" s="5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2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20" t="s">
        <v>22</v>
      </c>
    </row>
    <row r="2" spans="1:23" x14ac:dyDescent="0.35">
      <c r="A2" s="8">
        <v>66549</v>
      </c>
      <c r="B2" s="9" t="s">
        <v>23</v>
      </c>
      <c r="C2" s="9" t="s">
        <v>24</v>
      </c>
      <c r="D2" s="9" t="s">
        <v>25</v>
      </c>
      <c r="E2" s="17">
        <v>24</v>
      </c>
      <c r="F2" s="23">
        <f t="shared" ref="F2:F33" si="0">G2+H2+I2+J2+K2+L2+M2+N2+O2+P2+Q2+R2+S2+T2+U2+V2+W2</f>
        <v>0</v>
      </c>
      <c r="G2" s="9">
        <f>IFERROR(INDEX('Juice Fridge'!$F$2:$F$300,MATCH(A2,'Juice Fridge'!$A$2:$A$300,0)),0)</f>
        <v>0</v>
      </c>
      <c r="H2" s="9">
        <f>IFERROR(INDEX('Upper Keg'!$F$2:$F$300,MATCH(A2,'Upper Keg'!$A$2:$A$300,0)),0)</f>
        <v>0</v>
      </c>
      <c r="I2" s="9">
        <f>IFERROR(INDEX('Astral Bar'!$F$2:$F$300,MATCH(A2,'Astral Bar'!$A$2:$A$300,0)),0)</f>
        <v>0</v>
      </c>
      <c r="J2" s="9">
        <f>IFERROR(INDEX('GB1 Bar'!$F$2:$F$300,MATCH(A2,'GB1 Bar'!$A$2:$A$300,0)),0)</f>
        <v>0</v>
      </c>
      <c r="K2" s="9">
        <f>IFERROR(INDEX('GB2 Bar'!$F$2:$F$300,MATCH(A2,'GB2 Bar'!$A$2:$A$300,0)),0)</f>
        <v>0</v>
      </c>
      <c r="L2" s="9">
        <f>IFERROR(INDEX('CB1 Bar'!$F$2:$F$300,MATCH(A2,'CB1 Bar'!$A$2:$A$300,0)),0)</f>
        <v>0</v>
      </c>
      <c r="M2" s="9">
        <f>IFERROR(INDEX('CB2 Bar'!$F$2:$F$300,MATCH(A2,'CB2 Bar'!$A$2:$A$300,0)),0)</f>
        <v>0</v>
      </c>
      <c r="N2" s="9">
        <f>IFERROR(INDEX('CB3 Bar'!$F$2:$F$300,MATCH(A2,'CB3 Bar'!$A$2:$A$300,0)),0)</f>
        <v>0</v>
      </c>
      <c r="O2" s="9">
        <f>IFERROR(INDEX('Spirits Room'!$F$2:$F$300,MATCH(A2,'Spirits Room'!$A$2:$A$300,0)),0)</f>
        <v>0</v>
      </c>
      <c r="P2" s="9">
        <f>IFERROR(INDEX('White Wine Fridge'!$F$2:$F$300,MATCH(A2,'White Wine Fridge'!$A$2:$A$300,0)),0)</f>
        <v>0</v>
      </c>
      <c r="Q2" s="9">
        <f>IFERROR(INDEX('Lower Keg'!$F$2:$F$300,MATCH(A2,'Lower Keg'!$A$2:$A$300,0)),0)</f>
        <v>0</v>
      </c>
      <c r="R2" s="9">
        <f>IFERROR(INDEX('Botanical Storeroom'!$F$2:$F$300,MATCH(A2,'Botanical Storeroom'!$A$2:$A$300,0)),0)</f>
        <v>0</v>
      </c>
      <c r="S2" s="9">
        <f>IFERROR(INDEX('Botanical Bar'!$F$2:$F$300,MATCH(A2,'Botanical Bar'!$A$2:$A$300,0)),0)</f>
        <v>0</v>
      </c>
      <c r="T2" s="9">
        <f>IFERROR(INDEX('Loading Dock Fridge'!$F$2:$F$300,MATCH(A2,'Loading Dock Fridge'!$A$2:$A$300,0)),0)</f>
        <v>0</v>
      </c>
      <c r="U2" s="9">
        <f>IFERROR(INDEX('Postmix Loading Dock'!$F$2:$F$300,MATCH(A2,'Postmix Loading Dock'!$A$2:$A$300,0)),0)</f>
        <v>0</v>
      </c>
      <c r="V2" s="9">
        <f>IFERROR(INDEX('Postmix Lower Keg'!$F$2:$F$300,MATCH(A2,'Postmix Lower Keg'!$A$2:$A$300,0)),0)</f>
        <v>0</v>
      </c>
      <c r="W2" s="10">
        <f>IFERROR(INDEX('Postmix TWR'!$F$2:$F$300,MATCH(A2,'Postmix TWR'!$A$2:$A$300,0)),0)</f>
        <v>0</v>
      </c>
    </row>
    <row r="3" spans="1:23" x14ac:dyDescent="0.35">
      <c r="A3" s="8">
        <v>59237</v>
      </c>
      <c r="B3" s="9" t="s">
        <v>23</v>
      </c>
      <c r="C3" s="9" t="s">
        <v>24</v>
      </c>
      <c r="D3" s="9" t="s">
        <v>26</v>
      </c>
      <c r="E3" s="17">
        <v>24</v>
      </c>
      <c r="F3" s="23">
        <f t="shared" si="0"/>
        <v>0</v>
      </c>
      <c r="G3" s="9">
        <f>IFERROR(INDEX('Juice Fridge'!$F$2:$F$300,MATCH(A3,'Juice Fridge'!$A$2:$A$300,0)),0)</f>
        <v>0</v>
      </c>
      <c r="H3" s="9">
        <f>IFERROR(INDEX('Upper Keg'!$F$2:$F$300,MATCH(A3,'Upper Keg'!$A$2:$A$300,0)),0)</f>
        <v>0</v>
      </c>
      <c r="I3" s="9">
        <f>IFERROR(INDEX('Astral Bar'!$F$2:$F$300,MATCH(A3,'Astral Bar'!$A$2:$A$300,0)),0)</f>
        <v>0</v>
      </c>
      <c r="J3" s="9">
        <f>IFERROR(INDEX('GB1 Bar'!$F$2:$F$300,MATCH(A3,'GB1 Bar'!$A$2:$A$300,0)),0)</f>
        <v>0</v>
      </c>
      <c r="K3" s="9">
        <f>IFERROR(INDEX('GB2 Bar'!$F$2:$F$300,MATCH(A3,'GB2 Bar'!$A$2:$A$300,0)),0)</f>
        <v>0</v>
      </c>
      <c r="L3" s="9">
        <f>IFERROR(INDEX('CB1 Bar'!$F$2:$F$300,MATCH(A3,'CB1 Bar'!$A$2:$A$300,0)),0)</f>
        <v>0</v>
      </c>
      <c r="M3" s="9">
        <f>IFERROR(INDEX('CB2 Bar'!$F$2:$F$300,MATCH(A3,'CB2 Bar'!$A$2:$A$300,0)),0)</f>
        <v>0</v>
      </c>
      <c r="N3" s="9">
        <f>IFERROR(INDEX('CB3 Bar'!$F$2:$F$300,MATCH(A3,'CB3 Bar'!$A$2:$A$300,0)),0)</f>
        <v>0</v>
      </c>
      <c r="O3" s="9">
        <f>IFERROR(INDEX('Spirits Room'!$F$2:$F$300,MATCH(A3,'Spirits Room'!$A$2:$A$300,0)),0)</f>
        <v>0</v>
      </c>
      <c r="P3" s="9">
        <f>IFERROR(INDEX('White Wine Fridge'!$F$2:$F$300,MATCH(A3,'White Wine Fridge'!$A$2:$A$300,0)),0)</f>
        <v>0</v>
      </c>
      <c r="Q3" s="9">
        <f>IFERROR(INDEX('Lower Keg'!$F$2:$F$300,MATCH(A3,'Lower Keg'!$A$2:$A$300,0)),0)</f>
        <v>0</v>
      </c>
      <c r="R3" s="9">
        <f>IFERROR(INDEX('Botanical Storeroom'!$F$2:$F$300,MATCH(A3,'Botanical Storeroom'!$A$2:$A$300,0)),0)</f>
        <v>0</v>
      </c>
      <c r="S3" s="9">
        <f>IFERROR(INDEX('Botanical Bar'!$F$2:$F$300,MATCH(A3,'Botanical Bar'!$A$2:$A$300,0)),0)</f>
        <v>0</v>
      </c>
      <c r="T3" s="9">
        <f>IFERROR(INDEX('Loading Dock Fridge'!$F$2:$F$300,MATCH(A3,'Loading Dock Fridge'!$A$2:$A$300,0)),0)</f>
        <v>0</v>
      </c>
      <c r="U3" s="9">
        <f>IFERROR(INDEX('Postmix Loading Dock'!$F$2:$F$300,MATCH(A3,'Postmix Loading Dock'!$A$2:$A$300,0)),0)</f>
        <v>0</v>
      </c>
      <c r="V3" s="9">
        <f>IFERROR(INDEX('Postmix Lower Keg'!$F$2:$F$300,MATCH(A3,'Postmix Lower Keg'!$A$2:$A$300,0)),0)</f>
        <v>0</v>
      </c>
      <c r="W3" s="10">
        <f>IFERROR(INDEX('Postmix TWR'!$F$2:$F$300,MATCH(A3,'Postmix TWR'!$A$2:$A$300,0)),0)</f>
        <v>0</v>
      </c>
    </row>
    <row r="4" spans="1:23" x14ac:dyDescent="0.35">
      <c r="A4" s="8">
        <v>64212</v>
      </c>
      <c r="B4" s="9" t="s">
        <v>23</v>
      </c>
      <c r="C4" s="9" t="s">
        <v>24</v>
      </c>
      <c r="D4" s="9" t="s">
        <v>27</v>
      </c>
      <c r="E4" s="17">
        <v>24</v>
      </c>
      <c r="F4" s="23">
        <f t="shared" si="0"/>
        <v>0</v>
      </c>
      <c r="G4" s="9">
        <f>IFERROR(INDEX('Juice Fridge'!$F$2:$F$300,MATCH(A4,'Juice Fridge'!$A$2:$A$300,0)),0)</f>
        <v>0</v>
      </c>
      <c r="H4" s="9">
        <f>IFERROR(INDEX('Upper Keg'!$F$2:$F$300,MATCH(A4,'Upper Keg'!$A$2:$A$300,0)),0)</f>
        <v>0</v>
      </c>
      <c r="I4" s="9">
        <f>IFERROR(INDEX('Astral Bar'!$F$2:$F$300,MATCH(A4,'Astral Bar'!$A$2:$A$300,0)),0)</f>
        <v>0</v>
      </c>
      <c r="J4" s="9">
        <f>IFERROR(INDEX('GB1 Bar'!$F$2:$F$300,MATCH(A4,'GB1 Bar'!$A$2:$A$300,0)),0)</f>
        <v>0</v>
      </c>
      <c r="K4" s="9">
        <f>IFERROR(INDEX('GB2 Bar'!$F$2:$F$300,MATCH(A4,'GB2 Bar'!$A$2:$A$300,0)),0)</f>
        <v>0</v>
      </c>
      <c r="L4" s="9">
        <f>IFERROR(INDEX('CB1 Bar'!$F$2:$F$300,MATCH(A4,'CB1 Bar'!$A$2:$A$300,0)),0)</f>
        <v>0</v>
      </c>
      <c r="M4" s="9">
        <f>IFERROR(INDEX('CB2 Bar'!$F$2:$F$300,MATCH(A4,'CB2 Bar'!$A$2:$A$300,0)),0)</f>
        <v>0</v>
      </c>
      <c r="N4" s="9">
        <f>IFERROR(INDEX('CB3 Bar'!$F$2:$F$300,MATCH(A4,'CB3 Bar'!$A$2:$A$300,0)),0)</f>
        <v>0</v>
      </c>
      <c r="O4" s="9">
        <f>IFERROR(INDEX('Spirits Room'!$F$2:$F$300,MATCH(A4,'Spirits Room'!$A$2:$A$300,0)),0)</f>
        <v>0</v>
      </c>
      <c r="P4" s="9">
        <f>IFERROR(INDEX('White Wine Fridge'!$F$2:$F$300,MATCH(A4,'White Wine Fridge'!$A$2:$A$300,0)),0)</f>
        <v>0</v>
      </c>
      <c r="Q4" s="9">
        <f>IFERROR(INDEX('Lower Keg'!$F$2:$F$300,MATCH(A4,'Lower Keg'!$A$2:$A$300,0)),0)</f>
        <v>0</v>
      </c>
      <c r="R4" s="9">
        <f>IFERROR(INDEX('Botanical Storeroom'!$F$2:$F$300,MATCH(A4,'Botanical Storeroom'!$A$2:$A$300,0)),0)</f>
        <v>0</v>
      </c>
      <c r="S4" s="9">
        <f>IFERROR(INDEX('Botanical Bar'!$F$2:$F$300,MATCH(A4,'Botanical Bar'!$A$2:$A$300,0)),0)</f>
        <v>0</v>
      </c>
      <c r="T4" s="9">
        <f>IFERROR(INDEX('Loading Dock Fridge'!$F$2:$F$300,MATCH(A4,'Loading Dock Fridge'!$A$2:$A$300,0)),0)</f>
        <v>0</v>
      </c>
      <c r="U4" s="9">
        <f>IFERROR(INDEX('Postmix Loading Dock'!$F$2:$F$300,MATCH(A4,'Postmix Loading Dock'!$A$2:$A$300,0)),0)</f>
        <v>0</v>
      </c>
      <c r="V4" s="9">
        <f>IFERROR(INDEX('Postmix Lower Keg'!$F$2:$F$300,MATCH(A4,'Postmix Lower Keg'!$A$2:$A$300,0)),0)</f>
        <v>0</v>
      </c>
      <c r="W4" s="10">
        <f>IFERROR(INDEX('Postmix TWR'!$F$2:$F$300,MATCH(A4,'Postmix TWR'!$A$2:$A$300,0)),0)</f>
        <v>0</v>
      </c>
    </row>
    <row r="5" spans="1:23" x14ac:dyDescent="0.35">
      <c r="A5" s="8">
        <v>54419</v>
      </c>
      <c r="B5" s="9" t="s">
        <v>23</v>
      </c>
      <c r="C5" s="9" t="s">
        <v>24</v>
      </c>
      <c r="D5" s="9" t="s">
        <v>28</v>
      </c>
      <c r="E5" s="17">
        <v>24</v>
      </c>
      <c r="F5" s="23">
        <f t="shared" si="0"/>
        <v>0</v>
      </c>
      <c r="G5" s="9">
        <f>IFERROR(INDEX('Juice Fridge'!$F$2:$F$300,MATCH(A5,'Juice Fridge'!$A$2:$A$300,0)),0)</f>
        <v>0</v>
      </c>
      <c r="H5" s="9">
        <f>IFERROR(INDEX('Upper Keg'!$F$2:$F$300,MATCH(A5,'Upper Keg'!$A$2:$A$300,0)),0)</f>
        <v>0</v>
      </c>
      <c r="I5" s="9">
        <f>IFERROR(INDEX('Astral Bar'!$F$2:$F$300,MATCH(A5,'Astral Bar'!$A$2:$A$300,0)),0)</f>
        <v>0</v>
      </c>
      <c r="J5" s="9">
        <f>IFERROR(INDEX('GB1 Bar'!$F$2:$F$300,MATCH(A5,'GB1 Bar'!$A$2:$A$300,0)),0)</f>
        <v>0</v>
      </c>
      <c r="K5" s="9">
        <f>IFERROR(INDEX('GB2 Bar'!$F$2:$F$300,MATCH(A5,'GB2 Bar'!$A$2:$A$300,0)),0)</f>
        <v>0</v>
      </c>
      <c r="L5" s="9">
        <f>IFERROR(INDEX('CB1 Bar'!$F$2:$F$300,MATCH(A5,'CB1 Bar'!$A$2:$A$300,0)),0)</f>
        <v>0</v>
      </c>
      <c r="M5" s="9">
        <f>IFERROR(INDEX('CB2 Bar'!$F$2:$F$300,MATCH(A5,'CB2 Bar'!$A$2:$A$300,0)),0)</f>
        <v>0</v>
      </c>
      <c r="N5" s="9">
        <f>IFERROR(INDEX('CB3 Bar'!$F$2:$F$300,MATCH(A5,'CB3 Bar'!$A$2:$A$300,0)),0)</f>
        <v>0</v>
      </c>
      <c r="O5" s="9">
        <f>IFERROR(INDEX('Spirits Room'!$F$2:$F$300,MATCH(A5,'Spirits Room'!$A$2:$A$300,0)),0)</f>
        <v>0</v>
      </c>
      <c r="P5" s="9">
        <f>IFERROR(INDEX('White Wine Fridge'!$F$2:$F$300,MATCH(A5,'White Wine Fridge'!$A$2:$A$300,0)),0)</f>
        <v>0</v>
      </c>
      <c r="Q5" s="9">
        <f>IFERROR(INDEX('Lower Keg'!$F$2:$F$300,MATCH(A5,'Lower Keg'!$A$2:$A$300,0)),0)</f>
        <v>0</v>
      </c>
      <c r="R5" s="9">
        <f>IFERROR(INDEX('Botanical Storeroom'!$F$2:$F$300,MATCH(A5,'Botanical Storeroom'!$A$2:$A$300,0)),0)</f>
        <v>0</v>
      </c>
      <c r="S5" s="9">
        <f>IFERROR(INDEX('Botanical Bar'!$F$2:$F$300,MATCH(A5,'Botanical Bar'!$A$2:$A$300,0)),0)</f>
        <v>0</v>
      </c>
      <c r="T5" s="9">
        <f>IFERROR(INDEX('Loading Dock Fridge'!$F$2:$F$300,MATCH(A5,'Loading Dock Fridge'!$A$2:$A$300,0)),0)</f>
        <v>0</v>
      </c>
      <c r="U5" s="9">
        <f>IFERROR(INDEX('Postmix Loading Dock'!$F$2:$F$300,MATCH(A5,'Postmix Loading Dock'!$A$2:$A$300,0)),0)</f>
        <v>0</v>
      </c>
      <c r="V5" s="9">
        <f>IFERROR(INDEX('Postmix Lower Keg'!$F$2:$F$300,MATCH(A5,'Postmix Lower Keg'!$A$2:$A$300,0)),0)</f>
        <v>0</v>
      </c>
      <c r="W5" s="10">
        <f>IFERROR(INDEX('Postmix TWR'!$F$2:$F$300,MATCH(A5,'Postmix TWR'!$A$2:$A$300,0)),0)</f>
        <v>0</v>
      </c>
    </row>
    <row r="6" spans="1:23" x14ac:dyDescent="0.35">
      <c r="A6" s="8">
        <v>60039</v>
      </c>
      <c r="B6" s="9" t="s">
        <v>23</v>
      </c>
      <c r="C6" s="9" t="s">
        <v>24</v>
      </c>
      <c r="D6" s="9" t="s">
        <v>29</v>
      </c>
      <c r="E6" s="17">
        <v>24</v>
      </c>
      <c r="F6" s="23">
        <f t="shared" si="0"/>
        <v>0</v>
      </c>
      <c r="G6" s="9">
        <f>IFERROR(INDEX('Juice Fridge'!$F$2:$F$300,MATCH(A6,'Juice Fridge'!$A$2:$A$300,0)),0)</f>
        <v>0</v>
      </c>
      <c r="H6" s="9">
        <f>IFERROR(INDEX('Upper Keg'!$F$2:$F$300,MATCH(A6,'Upper Keg'!$A$2:$A$300,0)),0)</f>
        <v>0</v>
      </c>
      <c r="I6" s="9">
        <f>IFERROR(INDEX('Astral Bar'!$F$2:$F$300,MATCH(A6,'Astral Bar'!$A$2:$A$300,0)),0)</f>
        <v>0</v>
      </c>
      <c r="J6" s="9">
        <f>IFERROR(INDEX('GB1 Bar'!$F$2:$F$300,MATCH(A6,'GB1 Bar'!$A$2:$A$300,0)),0)</f>
        <v>0</v>
      </c>
      <c r="K6" s="9">
        <f>IFERROR(INDEX('GB2 Bar'!$F$2:$F$300,MATCH(A6,'GB2 Bar'!$A$2:$A$300,0)),0)</f>
        <v>0</v>
      </c>
      <c r="L6" s="9">
        <f>IFERROR(INDEX('CB1 Bar'!$F$2:$F$300,MATCH(A6,'CB1 Bar'!$A$2:$A$300,0)),0)</f>
        <v>0</v>
      </c>
      <c r="M6" s="9">
        <f>IFERROR(INDEX('CB2 Bar'!$F$2:$F$300,MATCH(A6,'CB2 Bar'!$A$2:$A$300,0)),0)</f>
        <v>0</v>
      </c>
      <c r="N6" s="9">
        <f>IFERROR(INDEX('CB3 Bar'!$F$2:$F$300,MATCH(A6,'CB3 Bar'!$A$2:$A$300,0)),0)</f>
        <v>0</v>
      </c>
      <c r="O6" s="9">
        <f>IFERROR(INDEX('Spirits Room'!$F$2:$F$300,MATCH(A6,'Spirits Room'!$A$2:$A$300,0)),0)</f>
        <v>0</v>
      </c>
      <c r="P6" s="9">
        <f>IFERROR(INDEX('White Wine Fridge'!$F$2:$F$300,MATCH(A6,'White Wine Fridge'!$A$2:$A$300,0)),0)</f>
        <v>0</v>
      </c>
      <c r="Q6" s="9">
        <f>IFERROR(INDEX('Lower Keg'!$F$2:$F$300,MATCH(A6,'Lower Keg'!$A$2:$A$300,0)),0)</f>
        <v>0</v>
      </c>
      <c r="R6" s="9">
        <f>IFERROR(INDEX('Botanical Storeroom'!$F$2:$F$300,MATCH(A6,'Botanical Storeroom'!$A$2:$A$300,0)),0)</f>
        <v>0</v>
      </c>
      <c r="S6" s="9">
        <f>IFERROR(INDEX('Botanical Bar'!$F$2:$F$300,MATCH(A6,'Botanical Bar'!$A$2:$A$300,0)),0)</f>
        <v>0</v>
      </c>
      <c r="T6" s="9">
        <f>IFERROR(INDEX('Loading Dock Fridge'!$F$2:$F$300,MATCH(A6,'Loading Dock Fridge'!$A$2:$A$300,0)),0)</f>
        <v>0</v>
      </c>
      <c r="U6" s="9">
        <f>IFERROR(INDEX('Postmix Loading Dock'!$F$2:$F$300,MATCH(A6,'Postmix Loading Dock'!$A$2:$A$300,0)),0)</f>
        <v>0</v>
      </c>
      <c r="V6" s="9">
        <f>IFERROR(INDEX('Postmix Lower Keg'!$F$2:$F$300,MATCH(A6,'Postmix Lower Keg'!$A$2:$A$300,0)),0)</f>
        <v>0</v>
      </c>
      <c r="W6" s="10">
        <f>IFERROR(INDEX('Postmix TWR'!$F$2:$F$300,MATCH(A6,'Postmix TWR'!$A$2:$A$300,0)),0)</f>
        <v>0</v>
      </c>
    </row>
    <row r="7" spans="1:23" x14ac:dyDescent="0.35">
      <c r="A7" s="8">
        <v>69689</v>
      </c>
      <c r="B7" s="9" t="s">
        <v>23</v>
      </c>
      <c r="C7" s="9" t="s">
        <v>24</v>
      </c>
      <c r="D7" s="9" t="s">
        <v>30</v>
      </c>
      <c r="E7" s="17">
        <v>24</v>
      </c>
      <c r="F7" s="23">
        <f t="shared" si="0"/>
        <v>0</v>
      </c>
      <c r="G7" s="9">
        <f>IFERROR(INDEX('Juice Fridge'!$F$2:$F$300,MATCH(A7,'Juice Fridge'!$A$2:$A$300,0)),0)</f>
        <v>0</v>
      </c>
      <c r="H7" s="9">
        <f>IFERROR(INDEX('Upper Keg'!$F$2:$F$300,MATCH(A7,'Upper Keg'!$A$2:$A$300,0)),0)</f>
        <v>0</v>
      </c>
      <c r="I7" s="9">
        <f>IFERROR(INDEX('Astral Bar'!$F$2:$F$300,MATCH(A7,'Astral Bar'!$A$2:$A$300,0)),0)</f>
        <v>0</v>
      </c>
      <c r="J7" s="9">
        <f>IFERROR(INDEX('GB1 Bar'!$F$2:$F$300,MATCH(A7,'GB1 Bar'!$A$2:$A$300,0)),0)</f>
        <v>0</v>
      </c>
      <c r="K7" s="9">
        <f>IFERROR(INDEX('GB2 Bar'!$F$2:$F$300,MATCH(A7,'GB2 Bar'!$A$2:$A$300,0)),0)</f>
        <v>0</v>
      </c>
      <c r="L7" s="9">
        <f>IFERROR(INDEX('CB1 Bar'!$F$2:$F$300,MATCH(A7,'CB1 Bar'!$A$2:$A$300,0)),0)</f>
        <v>0</v>
      </c>
      <c r="M7" s="9">
        <f>IFERROR(INDEX('CB2 Bar'!$F$2:$F$300,MATCH(A7,'CB2 Bar'!$A$2:$A$300,0)),0)</f>
        <v>0</v>
      </c>
      <c r="N7" s="9">
        <f>IFERROR(INDEX('CB3 Bar'!$F$2:$F$300,MATCH(A7,'CB3 Bar'!$A$2:$A$300,0)),0)</f>
        <v>0</v>
      </c>
      <c r="O7" s="9">
        <f>IFERROR(INDEX('Spirits Room'!$F$2:$F$300,MATCH(A7,'Spirits Room'!$A$2:$A$300,0)),0)</f>
        <v>0</v>
      </c>
      <c r="P7" s="9">
        <f>IFERROR(INDEX('White Wine Fridge'!$F$2:$F$300,MATCH(A7,'White Wine Fridge'!$A$2:$A$300,0)),0)</f>
        <v>0</v>
      </c>
      <c r="Q7" s="9">
        <f>IFERROR(INDEX('Lower Keg'!$F$2:$F$300,MATCH(A7,'Lower Keg'!$A$2:$A$300,0)),0)</f>
        <v>0</v>
      </c>
      <c r="R7" s="9">
        <f>IFERROR(INDEX('Botanical Storeroom'!$F$2:$F$300,MATCH(A7,'Botanical Storeroom'!$A$2:$A$300,0)),0)</f>
        <v>0</v>
      </c>
      <c r="S7" s="9">
        <f>IFERROR(INDEX('Botanical Bar'!$F$2:$F$300,MATCH(A7,'Botanical Bar'!$A$2:$A$300,0)),0)</f>
        <v>0</v>
      </c>
      <c r="T7" s="9">
        <f>IFERROR(INDEX('Loading Dock Fridge'!$F$2:$F$300,MATCH(A7,'Loading Dock Fridge'!$A$2:$A$300,0)),0)</f>
        <v>0</v>
      </c>
      <c r="U7" s="9">
        <f>IFERROR(INDEX('Postmix Loading Dock'!$F$2:$F$300,MATCH(A7,'Postmix Loading Dock'!$A$2:$A$300,0)),0)</f>
        <v>0</v>
      </c>
      <c r="V7" s="9">
        <f>IFERROR(INDEX('Postmix Lower Keg'!$F$2:$F$300,MATCH(A7,'Postmix Lower Keg'!$A$2:$A$300,0)),0)</f>
        <v>0</v>
      </c>
      <c r="W7" s="10">
        <f>IFERROR(INDEX('Postmix TWR'!$F$2:$F$300,MATCH(A7,'Postmix TWR'!$A$2:$A$300,0)),0)</f>
        <v>0</v>
      </c>
    </row>
    <row r="8" spans="1:23" x14ac:dyDescent="0.35">
      <c r="A8" s="8">
        <v>60612</v>
      </c>
      <c r="B8" s="9" t="s">
        <v>31</v>
      </c>
      <c r="C8" s="9" t="s">
        <v>24</v>
      </c>
      <c r="D8" s="9" t="s">
        <v>32</v>
      </c>
      <c r="E8" s="17">
        <v>24</v>
      </c>
      <c r="F8" s="23">
        <f t="shared" si="0"/>
        <v>0</v>
      </c>
      <c r="G8" s="9">
        <f>IFERROR(INDEX('Juice Fridge'!$F$2:$F$300,MATCH(A8,'Juice Fridge'!$A$2:$A$300,0)),0)</f>
        <v>0</v>
      </c>
      <c r="H8" s="9">
        <f>IFERROR(INDEX('Upper Keg'!$F$2:$F$300,MATCH(A8,'Upper Keg'!$A$2:$A$300,0)),0)</f>
        <v>0</v>
      </c>
      <c r="I8" s="9">
        <f>IFERROR(INDEX('Astral Bar'!$F$2:$F$300,MATCH(A8,'Astral Bar'!$A$2:$A$300,0)),0)</f>
        <v>0</v>
      </c>
      <c r="J8" s="9">
        <f>IFERROR(INDEX('GB1 Bar'!$F$2:$F$300,MATCH(A8,'GB1 Bar'!$A$2:$A$300,0)),0)</f>
        <v>0</v>
      </c>
      <c r="K8" s="9">
        <f>IFERROR(INDEX('GB2 Bar'!$F$2:$F$300,MATCH(A8,'GB2 Bar'!$A$2:$A$300,0)),0)</f>
        <v>0</v>
      </c>
      <c r="L8" s="9">
        <f>IFERROR(INDEX('CB1 Bar'!$F$2:$F$300,MATCH(A8,'CB1 Bar'!$A$2:$A$300,0)),0)</f>
        <v>0</v>
      </c>
      <c r="M8" s="9">
        <f>IFERROR(INDEX('CB2 Bar'!$F$2:$F$300,MATCH(A8,'CB2 Bar'!$A$2:$A$300,0)),0)</f>
        <v>0</v>
      </c>
      <c r="N8" s="9">
        <f>IFERROR(INDEX('CB3 Bar'!$F$2:$F$300,MATCH(A8,'CB3 Bar'!$A$2:$A$300,0)),0)</f>
        <v>0</v>
      </c>
      <c r="O8" s="9">
        <f>IFERROR(INDEX('Spirits Room'!$F$2:$F$300,MATCH(A8,'Spirits Room'!$A$2:$A$300,0)),0)</f>
        <v>0</v>
      </c>
      <c r="P8" s="9">
        <f>IFERROR(INDEX('White Wine Fridge'!$F$2:$F$300,MATCH(A8,'White Wine Fridge'!$A$2:$A$300,0)),0)</f>
        <v>0</v>
      </c>
      <c r="Q8" s="9">
        <f>IFERROR(INDEX('Lower Keg'!$F$2:$F$300,MATCH(A8,'Lower Keg'!$A$2:$A$300,0)),0)</f>
        <v>0</v>
      </c>
      <c r="R8" s="9">
        <f>IFERROR(INDEX('Botanical Storeroom'!$F$2:$F$300,MATCH(A8,'Botanical Storeroom'!$A$2:$A$300,0)),0)</f>
        <v>0</v>
      </c>
      <c r="S8" s="9">
        <f>IFERROR(INDEX('Botanical Bar'!$F$2:$F$300,MATCH(A8,'Botanical Bar'!$A$2:$A$300,0)),0)</f>
        <v>0</v>
      </c>
      <c r="T8" s="9">
        <f>IFERROR(INDEX('Loading Dock Fridge'!$F$2:$F$300,MATCH(A8,'Loading Dock Fridge'!$A$2:$A$300,0)),0)</f>
        <v>0</v>
      </c>
      <c r="U8" s="9">
        <f>IFERROR(INDEX('Postmix Loading Dock'!$F$2:$F$300,MATCH(A8,'Postmix Loading Dock'!$A$2:$A$300,0)),0)</f>
        <v>0</v>
      </c>
      <c r="V8" s="9">
        <f>IFERROR(INDEX('Postmix Lower Keg'!$F$2:$F$300,MATCH(A8,'Postmix Lower Keg'!$A$2:$A$300,0)),0)</f>
        <v>0</v>
      </c>
      <c r="W8" s="10">
        <f>IFERROR(INDEX('Postmix TWR'!$F$2:$F$300,MATCH(A8,'Postmix TWR'!$A$2:$A$300,0)),0)</f>
        <v>0</v>
      </c>
    </row>
    <row r="9" spans="1:23" x14ac:dyDescent="0.35">
      <c r="A9" s="8">
        <v>116393</v>
      </c>
      <c r="B9" s="9" t="s">
        <v>33</v>
      </c>
      <c r="C9" s="9" t="s">
        <v>24</v>
      </c>
      <c r="D9" s="9" t="s">
        <v>36</v>
      </c>
      <c r="E9" s="17">
        <v>24</v>
      </c>
      <c r="F9" s="23">
        <f t="shared" si="0"/>
        <v>0</v>
      </c>
      <c r="G9" s="9">
        <f>IFERROR(INDEX('Juice Fridge'!$F$2:$F$300,MATCH(A9,'Juice Fridge'!$A$2:$A$300,0)),0)</f>
        <v>0</v>
      </c>
      <c r="H9" s="9">
        <f>IFERROR(INDEX('Upper Keg'!$F$2:$F$300,MATCH(A9,'Upper Keg'!$A$2:$A$300,0)),0)</f>
        <v>0</v>
      </c>
      <c r="I9" s="9">
        <f>IFERROR(INDEX('Astral Bar'!$F$2:$F$300,MATCH(A9,'Astral Bar'!$A$2:$A$300,0)),0)</f>
        <v>0</v>
      </c>
      <c r="J9" s="9">
        <f>IFERROR(INDEX('GB1 Bar'!$F$2:$F$300,MATCH(A9,'GB1 Bar'!$A$2:$A$300,0)),0)</f>
        <v>0</v>
      </c>
      <c r="K9" s="9">
        <f>IFERROR(INDEX('GB2 Bar'!$F$2:$F$300,MATCH(A9,'GB2 Bar'!$A$2:$A$300,0)),0)</f>
        <v>0</v>
      </c>
      <c r="L9" s="9">
        <f>IFERROR(INDEX('CB1 Bar'!$F$2:$F$300,MATCH(A9,'CB1 Bar'!$A$2:$A$300,0)),0)</f>
        <v>0</v>
      </c>
      <c r="M9" s="9">
        <f>IFERROR(INDEX('CB2 Bar'!$F$2:$F$300,MATCH(A9,'CB2 Bar'!$A$2:$A$300,0)),0)</f>
        <v>0</v>
      </c>
      <c r="N9" s="9">
        <f>IFERROR(INDEX('CB3 Bar'!$F$2:$F$300,MATCH(A9,'CB3 Bar'!$A$2:$A$300,0)),0)</f>
        <v>0</v>
      </c>
      <c r="O9" s="9">
        <f>IFERROR(INDEX('Spirits Room'!$F$2:$F$300,MATCH(A9,'Spirits Room'!$A$2:$A$300,0)),0)</f>
        <v>0</v>
      </c>
      <c r="P9" s="9">
        <f>IFERROR(INDEX('White Wine Fridge'!$F$2:$F$300,MATCH(A9,'White Wine Fridge'!$A$2:$A$300,0)),0)</f>
        <v>0</v>
      </c>
      <c r="Q9" s="9">
        <f>IFERROR(INDEX('Lower Keg'!$F$2:$F$300,MATCH(A9,'Lower Keg'!$A$2:$A$300,0)),0)</f>
        <v>0</v>
      </c>
      <c r="R9" s="9">
        <f>IFERROR(INDEX('Botanical Storeroom'!$F$2:$F$300,MATCH(A9,'Botanical Storeroom'!$A$2:$A$300,0)),0)</f>
        <v>0</v>
      </c>
      <c r="S9" s="9">
        <f>IFERROR(INDEX('Botanical Bar'!$F$2:$F$300,MATCH(A9,'Botanical Bar'!$A$2:$A$300,0)),0)</f>
        <v>0</v>
      </c>
      <c r="T9" s="9">
        <f>IFERROR(INDEX('Loading Dock Fridge'!$F$2:$F$300,MATCH(A9,'Loading Dock Fridge'!$A$2:$A$300,0)),0)</f>
        <v>0</v>
      </c>
      <c r="U9" s="9">
        <f>IFERROR(INDEX('Postmix Loading Dock'!$F$2:$F$300,MATCH(A9,'Postmix Loading Dock'!$A$2:$A$300,0)),0)</f>
        <v>0</v>
      </c>
      <c r="V9" s="9">
        <f>IFERROR(INDEX('Postmix Lower Keg'!$F$2:$F$300,MATCH(A9,'Postmix Lower Keg'!$A$2:$A$300,0)),0)</f>
        <v>0</v>
      </c>
      <c r="W9" s="10">
        <f>IFERROR(INDEX('Postmix TWR'!$F$2:$F$300,MATCH(A9,'Postmix TWR'!$A$2:$A$300,0)),0)</f>
        <v>0</v>
      </c>
    </row>
    <row r="10" spans="1:23" x14ac:dyDescent="0.35">
      <c r="A10" s="8">
        <v>383</v>
      </c>
      <c r="B10" s="9" t="s">
        <v>33</v>
      </c>
      <c r="C10" s="9" t="s">
        <v>24</v>
      </c>
      <c r="D10" s="9" t="s">
        <v>34</v>
      </c>
      <c r="E10" s="17">
        <v>24</v>
      </c>
      <c r="F10" s="23">
        <f t="shared" si="0"/>
        <v>0</v>
      </c>
      <c r="G10" s="9">
        <f>IFERROR(INDEX('Juice Fridge'!$F$2:$F$300,MATCH(A10,'Juice Fridge'!$A$2:$A$300,0)),0)</f>
        <v>0</v>
      </c>
      <c r="H10" s="9">
        <f>IFERROR(INDEX('Upper Keg'!$F$2:$F$300,MATCH(A10,'Upper Keg'!$A$2:$A$300,0)),0)</f>
        <v>0</v>
      </c>
      <c r="I10" s="9">
        <f>IFERROR(INDEX('Astral Bar'!$F$2:$F$300,MATCH(A10,'Astral Bar'!$A$2:$A$300,0)),0)</f>
        <v>0</v>
      </c>
      <c r="J10" s="9">
        <f>IFERROR(INDEX('GB1 Bar'!$F$2:$F$300,MATCH(A10,'GB1 Bar'!$A$2:$A$300,0)),0)</f>
        <v>0</v>
      </c>
      <c r="K10" s="9">
        <f>IFERROR(INDEX('GB2 Bar'!$F$2:$F$300,MATCH(A10,'GB2 Bar'!$A$2:$A$300,0)),0)</f>
        <v>0</v>
      </c>
      <c r="L10" s="9">
        <f>IFERROR(INDEX('CB1 Bar'!$F$2:$F$300,MATCH(A10,'CB1 Bar'!$A$2:$A$300,0)),0)</f>
        <v>0</v>
      </c>
      <c r="M10" s="9">
        <f>IFERROR(INDEX('CB2 Bar'!$F$2:$F$300,MATCH(A10,'CB2 Bar'!$A$2:$A$300,0)),0)</f>
        <v>0</v>
      </c>
      <c r="N10" s="9">
        <f>IFERROR(INDEX('CB3 Bar'!$F$2:$F$300,MATCH(A10,'CB3 Bar'!$A$2:$A$300,0)),0)</f>
        <v>0</v>
      </c>
      <c r="O10" s="9">
        <f>IFERROR(INDEX('Spirits Room'!$F$2:$F$300,MATCH(A10,'Spirits Room'!$A$2:$A$300,0)),0)</f>
        <v>0</v>
      </c>
      <c r="P10" s="9">
        <f>IFERROR(INDEX('White Wine Fridge'!$F$2:$F$300,MATCH(A10,'White Wine Fridge'!$A$2:$A$300,0)),0)</f>
        <v>0</v>
      </c>
      <c r="Q10" s="9">
        <f>IFERROR(INDEX('Lower Keg'!$F$2:$F$300,MATCH(A10,'Lower Keg'!$A$2:$A$300,0)),0)</f>
        <v>0</v>
      </c>
      <c r="R10" s="9">
        <f>IFERROR(INDEX('Botanical Storeroom'!$F$2:$F$300,MATCH(A10,'Botanical Storeroom'!$A$2:$A$300,0)),0)</f>
        <v>0</v>
      </c>
      <c r="S10" s="9">
        <f>IFERROR(INDEX('Botanical Bar'!$F$2:$F$300,MATCH(A10,'Botanical Bar'!$A$2:$A$300,0)),0)</f>
        <v>0</v>
      </c>
      <c r="T10" s="9">
        <f>IFERROR(INDEX('Loading Dock Fridge'!$F$2:$F$300,MATCH(A10,'Loading Dock Fridge'!$A$2:$A$300,0)),0)</f>
        <v>0</v>
      </c>
      <c r="U10" s="9">
        <f>IFERROR(INDEX('Postmix Loading Dock'!$F$2:$F$300,MATCH(A10,'Postmix Loading Dock'!$A$2:$A$300,0)),0)</f>
        <v>0</v>
      </c>
      <c r="V10" s="9">
        <f>IFERROR(INDEX('Postmix Lower Keg'!$F$2:$F$300,MATCH(A10,'Postmix Lower Keg'!$A$2:$A$300,0)),0)</f>
        <v>0</v>
      </c>
      <c r="W10" s="10">
        <f>IFERROR(INDEX('Postmix TWR'!$F$2:$F$300,MATCH(A10,'Postmix TWR'!$A$2:$A$300,0)),0)</f>
        <v>0</v>
      </c>
    </row>
    <row r="11" spans="1:23" x14ac:dyDescent="0.35">
      <c r="A11" s="8">
        <v>191</v>
      </c>
      <c r="B11" s="9" t="s">
        <v>33</v>
      </c>
      <c r="C11" s="9" t="s">
        <v>24</v>
      </c>
      <c r="D11" s="9" t="s">
        <v>35</v>
      </c>
      <c r="E11" s="17">
        <v>24</v>
      </c>
      <c r="F11" s="23">
        <f t="shared" si="0"/>
        <v>0</v>
      </c>
      <c r="G11" s="9">
        <f>IFERROR(INDEX('Juice Fridge'!$F$2:$F$300,MATCH(A11,'Juice Fridge'!$A$2:$A$300,0)),0)</f>
        <v>0</v>
      </c>
      <c r="H11" s="9">
        <f>IFERROR(INDEX('Upper Keg'!$F$2:$F$300,MATCH(A11,'Upper Keg'!$A$2:$A$300,0)),0)</f>
        <v>0</v>
      </c>
      <c r="I11" s="9">
        <f>IFERROR(INDEX('Astral Bar'!$F$2:$F$300,MATCH(A11,'Astral Bar'!$A$2:$A$300,0)),0)</f>
        <v>0</v>
      </c>
      <c r="J11" s="9">
        <f>IFERROR(INDEX('GB1 Bar'!$F$2:$F$300,MATCH(A11,'GB1 Bar'!$A$2:$A$300,0)),0)</f>
        <v>0</v>
      </c>
      <c r="K11" s="9">
        <f>IFERROR(INDEX('GB2 Bar'!$F$2:$F$300,MATCH(A11,'GB2 Bar'!$A$2:$A$300,0)),0)</f>
        <v>0</v>
      </c>
      <c r="L11" s="9">
        <f>IFERROR(INDEX('CB1 Bar'!$F$2:$F$300,MATCH(A11,'CB1 Bar'!$A$2:$A$300,0)),0)</f>
        <v>0</v>
      </c>
      <c r="M11" s="9">
        <f>IFERROR(INDEX('CB2 Bar'!$F$2:$F$300,MATCH(A11,'CB2 Bar'!$A$2:$A$300,0)),0)</f>
        <v>0</v>
      </c>
      <c r="N11" s="9">
        <f>IFERROR(INDEX('CB3 Bar'!$F$2:$F$300,MATCH(A11,'CB3 Bar'!$A$2:$A$300,0)),0)</f>
        <v>0</v>
      </c>
      <c r="O11" s="9">
        <f>IFERROR(INDEX('Spirits Room'!$F$2:$F$300,MATCH(A11,'Spirits Room'!$A$2:$A$300,0)),0)</f>
        <v>0</v>
      </c>
      <c r="P11" s="9">
        <f>IFERROR(INDEX('White Wine Fridge'!$F$2:$F$300,MATCH(A11,'White Wine Fridge'!$A$2:$A$300,0)),0)</f>
        <v>0</v>
      </c>
      <c r="Q11" s="9">
        <f>IFERROR(INDEX('Lower Keg'!$F$2:$F$300,MATCH(A11,'Lower Keg'!$A$2:$A$300,0)),0)</f>
        <v>0</v>
      </c>
      <c r="R11" s="9">
        <f>IFERROR(INDEX('Botanical Storeroom'!$F$2:$F$300,MATCH(A11,'Botanical Storeroom'!$A$2:$A$300,0)),0)</f>
        <v>0</v>
      </c>
      <c r="S11" s="9">
        <f>IFERROR(INDEX('Botanical Bar'!$F$2:$F$300,MATCH(A11,'Botanical Bar'!$A$2:$A$300,0)),0)</f>
        <v>0</v>
      </c>
      <c r="T11" s="9">
        <f>IFERROR(INDEX('Loading Dock Fridge'!$F$2:$F$300,MATCH(A11,'Loading Dock Fridge'!$A$2:$A$300,0)),0)</f>
        <v>0</v>
      </c>
      <c r="U11" s="9">
        <f>IFERROR(INDEX('Postmix Loading Dock'!$F$2:$F$300,MATCH(A11,'Postmix Loading Dock'!$A$2:$A$300,0)),0)</f>
        <v>0</v>
      </c>
      <c r="V11" s="9">
        <f>IFERROR(INDEX('Postmix Lower Keg'!$F$2:$F$300,MATCH(A11,'Postmix Lower Keg'!$A$2:$A$300,0)),0)</f>
        <v>0</v>
      </c>
      <c r="W11" s="10">
        <f>IFERROR(INDEX('Postmix TWR'!$F$2:$F$300,MATCH(A11,'Postmix TWR'!$A$2:$A$300,0)),0)</f>
        <v>0</v>
      </c>
    </row>
    <row r="12" spans="1:23" x14ac:dyDescent="0.35">
      <c r="A12" s="8">
        <v>36728</v>
      </c>
      <c r="B12" s="9" t="s">
        <v>33</v>
      </c>
      <c r="C12" s="9" t="s">
        <v>24</v>
      </c>
      <c r="D12" s="9" t="s">
        <v>37</v>
      </c>
      <c r="E12" s="17">
        <v>24</v>
      </c>
      <c r="F12" s="23">
        <f t="shared" si="0"/>
        <v>0</v>
      </c>
      <c r="G12" s="9">
        <f>IFERROR(INDEX('Juice Fridge'!$F$2:$F$300,MATCH(A12,'Juice Fridge'!$A$2:$A$300,0)),0)</f>
        <v>0</v>
      </c>
      <c r="H12" s="9">
        <f>IFERROR(INDEX('Upper Keg'!$F$2:$F$300,MATCH(A12,'Upper Keg'!$A$2:$A$300,0)),0)</f>
        <v>0</v>
      </c>
      <c r="I12" s="9">
        <f>IFERROR(INDEX('Astral Bar'!$F$2:$F$300,MATCH(A12,'Astral Bar'!$A$2:$A$300,0)),0)</f>
        <v>0</v>
      </c>
      <c r="J12" s="9">
        <f>IFERROR(INDEX('GB1 Bar'!$F$2:$F$300,MATCH(A12,'GB1 Bar'!$A$2:$A$300,0)),0)</f>
        <v>0</v>
      </c>
      <c r="K12" s="9">
        <f>IFERROR(INDEX('GB2 Bar'!$F$2:$F$300,MATCH(A12,'GB2 Bar'!$A$2:$A$300,0)),0)</f>
        <v>0</v>
      </c>
      <c r="L12" s="9">
        <f>IFERROR(INDEX('CB1 Bar'!$F$2:$F$300,MATCH(A12,'CB1 Bar'!$A$2:$A$300,0)),0)</f>
        <v>0</v>
      </c>
      <c r="M12" s="9">
        <f>IFERROR(INDEX('CB2 Bar'!$F$2:$F$300,MATCH(A12,'CB2 Bar'!$A$2:$A$300,0)),0)</f>
        <v>0</v>
      </c>
      <c r="N12" s="9">
        <f>IFERROR(INDEX('CB3 Bar'!$F$2:$F$300,MATCH(A12,'CB3 Bar'!$A$2:$A$300,0)),0)</f>
        <v>0</v>
      </c>
      <c r="O12" s="9">
        <f>IFERROR(INDEX('Spirits Room'!$F$2:$F$300,MATCH(A12,'Spirits Room'!$A$2:$A$300,0)),0)</f>
        <v>0</v>
      </c>
      <c r="P12" s="9">
        <f>IFERROR(INDEX('White Wine Fridge'!$F$2:$F$300,MATCH(A12,'White Wine Fridge'!$A$2:$A$300,0)),0)</f>
        <v>0</v>
      </c>
      <c r="Q12" s="9">
        <f>IFERROR(INDEX('Lower Keg'!$F$2:$F$300,MATCH(A12,'Lower Keg'!$A$2:$A$300,0)),0)</f>
        <v>0</v>
      </c>
      <c r="R12" s="9">
        <f>IFERROR(INDEX('Botanical Storeroom'!$F$2:$F$300,MATCH(A12,'Botanical Storeroom'!$A$2:$A$300,0)),0)</f>
        <v>0</v>
      </c>
      <c r="S12" s="9">
        <f>IFERROR(INDEX('Botanical Bar'!$F$2:$F$300,MATCH(A12,'Botanical Bar'!$A$2:$A$300,0)),0)</f>
        <v>0</v>
      </c>
      <c r="T12" s="9">
        <f>IFERROR(INDEX('Loading Dock Fridge'!$F$2:$F$300,MATCH(A12,'Loading Dock Fridge'!$A$2:$A$300,0)),0)</f>
        <v>0</v>
      </c>
      <c r="U12" s="9">
        <f>IFERROR(INDEX('Postmix Loading Dock'!$F$2:$F$300,MATCH(A12,'Postmix Loading Dock'!$A$2:$A$300,0)),0)</f>
        <v>0</v>
      </c>
      <c r="V12" s="9">
        <f>IFERROR(INDEX('Postmix Lower Keg'!$F$2:$F$300,MATCH(A12,'Postmix Lower Keg'!$A$2:$A$300,0)),0)</f>
        <v>0</v>
      </c>
      <c r="W12" s="10">
        <f>IFERROR(INDEX('Postmix TWR'!$F$2:$F$300,MATCH(A12,'Postmix TWR'!$A$2:$A$300,0)),0)</f>
        <v>0</v>
      </c>
    </row>
    <row r="13" spans="1:23" x14ac:dyDescent="0.35">
      <c r="A13" s="8">
        <v>22465</v>
      </c>
      <c r="B13" s="9" t="s">
        <v>33</v>
      </c>
      <c r="C13" s="9" t="s">
        <v>24</v>
      </c>
      <c r="D13" s="9" t="s">
        <v>38</v>
      </c>
      <c r="E13" s="17">
        <v>24</v>
      </c>
      <c r="F13" s="23">
        <f t="shared" si="0"/>
        <v>0</v>
      </c>
      <c r="G13" s="9">
        <f>IFERROR(INDEX('Juice Fridge'!$F$2:$F$300,MATCH(A13,'Juice Fridge'!$A$2:$A$300,0)),0)</f>
        <v>0</v>
      </c>
      <c r="H13" s="9">
        <f>IFERROR(INDEX('Upper Keg'!$F$2:$F$300,MATCH(A13,'Upper Keg'!$A$2:$A$300,0)),0)</f>
        <v>0</v>
      </c>
      <c r="I13" s="9">
        <f>IFERROR(INDEX('Astral Bar'!$F$2:$F$300,MATCH(A13,'Astral Bar'!$A$2:$A$300,0)),0)</f>
        <v>0</v>
      </c>
      <c r="J13" s="9">
        <f>IFERROR(INDEX('GB1 Bar'!$F$2:$F$300,MATCH(A13,'GB1 Bar'!$A$2:$A$300,0)),0)</f>
        <v>0</v>
      </c>
      <c r="K13" s="9">
        <f>IFERROR(INDEX('GB2 Bar'!$F$2:$F$300,MATCH(A13,'GB2 Bar'!$A$2:$A$300,0)),0)</f>
        <v>0</v>
      </c>
      <c r="L13" s="9">
        <f>IFERROR(INDEX('CB1 Bar'!$F$2:$F$300,MATCH(A13,'CB1 Bar'!$A$2:$A$300,0)),0)</f>
        <v>0</v>
      </c>
      <c r="M13" s="9">
        <f>IFERROR(INDEX('CB2 Bar'!$F$2:$F$300,MATCH(A13,'CB2 Bar'!$A$2:$A$300,0)),0)</f>
        <v>0</v>
      </c>
      <c r="N13" s="9">
        <f>IFERROR(INDEX('CB3 Bar'!$F$2:$F$300,MATCH(A13,'CB3 Bar'!$A$2:$A$300,0)),0)</f>
        <v>0</v>
      </c>
      <c r="O13" s="9">
        <f>IFERROR(INDEX('Spirits Room'!$F$2:$F$300,MATCH(A13,'Spirits Room'!$A$2:$A$300,0)),0)</f>
        <v>0</v>
      </c>
      <c r="P13" s="9">
        <f>IFERROR(INDEX('White Wine Fridge'!$F$2:$F$300,MATCH(A13,'White Wine Fridge'!$A$2:$A$300,0)),0)</f>
        <v>0</v>
      </c>
      <c r="Q13" s="9">
        <f>IFERROR(INDEX('Lower Keg'!$F$2:$F$300,MATCH(A13,'Lower Keg'!$A$2:$A$300,0)),0)</f>
        <v>0</v>
      </c>
      <c r="R13" s="9">
        <f>IFERROR(INDEX('Botanical Storeroom'!$F$2:$F$300,MATCH(A13,'Botanical Storeroom'!$A$2:$A$300,0)),0)</f>
        <v>0</v>
      </c>
      <c r="S13" s="9">
        <f>IFERROR(INDEX('Botanical Bar'!$F$2:$F$300,MATCH(A13,'Botanical Bar'!$A$2:$A$300,0)),0)</f>
        <v>0</v>
      </c>
      <c r="T13" s="9">
        <f>IFERROR(INDEX('Loading Dock Fridge'!$F$2:$F$300,MATCH(A13,'Loading Dock Fridge'!$A$2:$A$300,0)),0)</f>
        <v>0</v>
      </c>
      <c r="U13" s="9">
        <f>IFERROR(INDEX('Postmix Loading Dock'!$F$2:$F$300,MATCH(A13,'Postmix Loading Dock'!$A$2:$A$300,0)),0)</f>
        <v>0</v>
      </c>
      <c r="V13" s="9">
        <f>IFERROR(INDEX('Postmix Lower Keg'!$F$2:$F$300,MATCH(A13,'Postmix Lower Keg'!$A$2:$A$300,0)),0)</f>
        <v>0</v>
      </c>
      <c r="W13" s="10">
        <f>IFERROR(INDEX('Postmix TWR'!$F$2:$F$300,MATCH(A13,'Postmix TWR'!$A$2:$A$300,0)),0)</f>
        <v>0</v>
      </c>
    </row>
    <row r="14" spans="1:23" x14ac:dyDescent="0.35">
      <c r="A14" s="8">
        <v>24115</v>
      </c>
      <c r="B14" s="9" t="s">
        <v>33</v>
      </c>
      <c r="C14" s="9" t="s">
        <v>24</v>
      </c>
      <c r="D14" s="9" t="s">
        <v>39</v>
      </c>
      <c r="E14" s="17">
        <v>24</v>
      </c>
      <c r="F14" s="23">
        <f t="shared" si="0"/>
        <v>0</v>
      </c>
      <c r="G14" s="9">
        <f>IFERROR(INDEX('Juice Fridge'!$F$2:$F$300,MATCH(A14,'Juice Fridge'!$A$2:$A$300,0)),0)</f>
        <v>0</v>
      </c>
      <c r="H14" s="9">
        <f>IFERROR(INDEX('Upper Keg'!$F$2:$F$300,MATCH(A14,'Upper Keg'!$A$2:$A$300,0)),0)</f>
        <v>0</v>
      </c>
      <c r="I14" s="9">
        <f>IFERROR(INDEX('Astral Bar'!$F$2:$F$300,MATCH(A14,'Astral Bar'!$A$2:$A$300,0)),0)</f>
        <v>0</v>
      </c>
      <c r="J14" s="9">
        <f>IFERROR(INDEX('GB1 Bar'!$F$2:$F$300,MATCH(A14,'GB1 Bar'!$A$2:$A$300,0)),0)</f>
        <v>0</v>
      </c>
      <c r="K14" s="9">
        <f>IFERROR(INDEX('GB2 Bar'!$F$2:$F$300,MATCH(A14,'GB2 Bar'!$A$2:$A$300,0)),0)</f>
        <v>0</v>
      </c>
      <c r="L14" s="9">
        <f>IFERROR(INDEX('CB1 Bar'!$F$2:$F$300,MATCH(A14,'CB1 Bar'!$A$2:$A$300,0)),0)</f>
        <v>0</v>
      </c>
      <c r="M14" s="9">
        <f>IFERROR(INDEX('CB2 Bar'!$F$2:$F$300,MATCH(A14,'CB2 Bar'!$A$2:$A$300,0)),0)</f>
        <v>0</v>
      </c>
      <c r="N14" s="9">
        <f>IFERROR(INDEX('CB3 Bar'!$F$2:$F$300,MATCH(A14,'CB3 Bar'!$A$2:$A$300,0)),0)</f>
        <v>0</v>
      </c>
      <c r="O14" s="9">
        <f>IFERROR(INDEX('Spirits Room'!$F$2:$F$300,MATCH(A14,'Spirits Room'!$A$2:$A$300,0)),0)</f>
        <v>0</v>
      </c>
      <c r="P14" s="9">
        <f>IFERROR(INDEX('White Wine Fridge'!$F$2:$F$300,MATCH(A14,'White Wine Fridge'!$A$2:$A$300,0)),0)</f>
        <v>0</v>
      </c>
      <c r="Q14" s="9">
        <f>IFERROR(INDEX('Lower Keg'!$F$2:$F$300,MATCH(A14,'Lower Keg'!$A$2:$A$300,0)),0)</f>
        <v>0</v>
      </c>
      <c r="R14" s="9">
        <f>IFERROR(INDEX('Botanical Storeroom'!$F$2:$F$300,MATCH(A14,'Botanical Storeroom'!$A$2:$A$300,0)),0)</f>
        <v>0</v>
      </c>
      <c r="S14" s="9">
        <f>IFERROR(INDEX('Botanical Bar'!$F$2:$F$300,MATCH(A14,'Botanical Bar'!$A$2:$A$300,0)),0)</f>
        <v>0</v>
      </c>
      <c r="T14" s="9">
        <f>IFERROR(INDEX('Loading Dock Fridge'!$F$2:$F$300,MATCH(A14,'Loading Dock Fridge'!$A$2:$A$300,0)),0)</f>
        <v>0</v>
      </c>
      <c r="U14" s="9">
        <f>IFERROR(INDEX('Postmix Loading Dock'!$F$2:$F$300,MATCH(A14,'Postmix Loading Dock'!$A$2:$A$300,0)),0)</f>
        <v>0</v>
      </c>
      <c r="V14" s="9">
        <f>IFERROR(INDEX('Postmix Lower Keg'!$F$2:$F$300,MATCH(A14,'Postmix Lower Keg'!$A$2:$A$300,0)),0)</f>
        <v>0</v>
      </c>
      <c r="W14" s="10">
        <f>IFERROR(INDEX('Postmix TWR'!$F$2:$F$300,MATCH(A14,'Postmix TWR'!$A$2:$A$300,0)),0)</f>
        <v>0</v>
      </c>
    </row>
    <row r="15" spans="1:23" x14ac:dyDescent="0.35">
      <c r="A15" s="8">
        <v>32471</v>
      </c>
      <c r="B15" s="9" t="s">
        <v>33</v>
      </c>
      <c r="C15" s="9" t="s">
        <v>24</v>
      </c>
      <c r="D15" s="9" t="s">
        <v>40</v>
      </c>
      <c r="E15" s="17">
        <v>24</v>
      </c>
      <c r="F15" s="23">
        <f t="shared" si="0"/>
        <v>0</v>
      </c>
      <c r="G15" s="9">
        <f>IFERROR(INDEX('Juice Fridge'!$F$2:$F$300,MATCH(A15,'Juice Fridge'!$A$2:$A$300,0)),0)</f>
        <v>0</v>
      </c>
      <c r="H15" s="9">
        <f>IFERROR(INDEX('Upper Keg'!$F$2:$F$300,MATCH(A15,'Upper Keg'!$A$2:$A$300,0)),0)</f>
        <v>0</v>
      </c>
      <c r="I15" s="9">
        <f>IFERROR(INDEX('Astral Bar'!$F$2:$F$300,MATCH(A15,'Astral Bar'!$A$2:$A$300,0)),0)</f>
        <v>0</v>
      </c>
      <c r="J15" s="9">
        <f>IFERROR(INDEX('GB1 Bar'!$F$2:$F$300,MATCH(A15,'GB1 Bar'!$A$2:$A$300,0)),0)</f>
        <v>0</v>
      </c>
      <c r="K15" s="9">
        <f>IFERROR(INDEX('GB2 Bar'!$F$2:$F$300,MATCH(A15,'GB2 Bar'!$A$2:$A$300,0)),0)</f>
        <v>0</v>
      </c>
      <c r="L15" s="9">
        <f>IFERROR(INDEX('CB1 Bar'!$F$2:$F$300,MATCH(A15,'CB1 Bar'!$A$2:$A$300,0)),0)</f>
        <v>0</v>
      </c>
      <c r="M15" s="9">
        <f>IFERROR(INDEX('CB2 Bar'!$F$2:$F$300,MATCH(A15,'CB2 Bar'!$A$2:$A$300,0)),0)</f>
        <v>0</v>
      </c>
      <c r="N15" s="9">
        <f>IFERROR(INDEX('CB3 Bar'!$F$2:$F$300,MATCH(A15,'CB3 Bar'!$A$2:$A$300,0)),0)</f>
        <v>0</v>
      </c>
      <c r="O15" s="9">
        <f>IFERROR(INDEX('Spirits Room'!$F$2:$F$300,MATCH(A15,'Spirits Room'!$A$2:$A$300,0)),0)</f>
        <v>0</v>
      </c>
      <c r="P15" s="9">
        <f>IFERROR(INDEX('White Wine Fridge'!$F$2:$F$300,MATCH(A15,'White Wine Fridge'!$A$2:$A$300,0)),0)</f>
        <v>0</v>
      </c>
      <c r="Q15" s="9">
        <f>IFERROR(INDEX('Lower Keg'!$F$2:$F$300,MATCH(A15,'Lower Keg'!$A$2:$A$300,0)),0)</f>
        <v>0</v>
      </c>
      <c r="R15" s="9">
        <f>IFERROR(INDEX('Botanical Storeroom'!$F$2:$F$300,MATCH(A15,'Botanical Storeroom'!$A$2:$A$300,0)),0)</f>
        <v>0</v>
      </c>
      <c r="S15" s="9">
        <f>IFERROR(INDEX('Botanical Bar'!$F$2:$F$300,MATCH(A15,'Botanical Bar'!$A$2:$A$300,0)),0)</f>
        <v>0</v>
      </c>
      <c r="T15" s="9">
        <f>IFERROR(INDEX('Loading Dock Fridge'!$F$2:$F$300,MATCH(A15,'Loading Dock Fridge'!$A$2:$A$300,0)),0)</f>
        <v>0</v>
      </c>
      <c r="U15" s="9">
        <f>IFERROR(INDEX('Postmix Loading Dock'!$F$2:$F$300,MATCH(A15,'Postmix Loading Dock'!$A$2:$A$300,0)),0)</f>
        <v>0</v>
      </c>
      <c r="V15" s="9">
        <f>IFERROR(INDEX('Postmix Lower Keg'!$F$2:$F$300,MATCH(A15,'Postmix Lower Keg'!$A$2:$A$300,0)),0)</f>
        <v>0</v>
      </c>
      <c r="W15" s="10">
        <f>IFERROR(INDEX('Postmix TWR'!$F$2:$F$300,MATCH(A15,'Postmix TWR'!$A$2:$A$300,0)),0)</f>
        <v>0</v>
      </c>
    </row>
    <row r="16" spans="1:23" x14ac:dyDescent="0.35">
      <c r="A16" s="8">
        <v>34663</v>
      </c>
      <c r="B16" s="9" t="s">
        <v>33</v>
      </c>
      <c r="C16" s="9" t="s">
        <v>24</v>
      </c>
      <c r="D16" s="9" t="s">
        <v>41</v>
      </c>
      <c r="E16" s="17">
        <v>24</v>
      </c>
      <c r="F16" s="23">
        <f t="shared" si="0"/>
        <v>0</v>
      </c>
      <c r="G16" s="9">
        <f>IFERROR(INDEX('Juice Fridge'!$F$2:$F$300,MATCH(A16,'Juice Fridge'!$A$2:$A$300,0)),0)</f>
        <v>0</v>
      </c>
      <c r="H16" s="9">
        <f>IFERROR(INDEX('Upper Keg'!$F$2:$F$300,MATCH(A16,'Upper Keg'!$A$2:$A$300,0)),0)</f>
        <v>0</v>
      </c>
      <c r="I16" s="9">
        <f>IFERROR(INDEX('Astral Bar'!$F$2:$F$300,MATCH(A16,'Astral Bar'!$A$2:$A$300,0)),0)</f>
        <v>0</v>
      </c>
      <c r="J16" s="9">
        <f>IFERROR(INDEX('GB1 Bar'!$F$2:$F$300,MATCH(A16,'GB1 Bar'!$A$2:$A$300,0)),0)</f>
        <v>0</v>
      </c>
      <c r="K16" s="9">
        <f>IFERROR(INDEX('GB2 Bar'!$F$2:$F$300,MATCH(A16,'GB2 Bar'!$A$2:$A$300,0)),0)</f>
        <v>0</v>
      </c>
      <c r="L16" s="9">
        <f>IFERROR(INDEX('CB1 Bar'!$F$2:$F$300,MATCH(A16,'CB1 Bar'!$A$2:$A$300,0)),0)</f>
        <v>0</v>
      </c>
      <c r="M16" s="9">
        <f>IFERROR(INDEX('CB2 Bar'!$F$2:$F$300,MATCH(A16,'CB2 Bar'!$A$2:$A$300,0)),0)</f>
        <v>0</v>
      </c>
      <c r="N16" s="9">
        <f>IFERROR(INDEX('CB3 Bar'!$F$2:$F$300,MATCH(A16,'CB3 Bar'!$A$2:$A$300,0)),0)</f>
        <v>0</v>
      </c>
      <c r="O16" s="9">
        <f>IFERROR(INDEX('Spirits Room'!$F$2:$F$300,MATCH(A16,'Spirits Room'!$A$2:$A$300,0)),0)</f>
        <v>0</v>
      </c>
      <c r="P16" s="9">
        <f>IFERROR(INDEX('White Wine Fridge'!$F$2:$F$300,MATCH(A16,'White Wine Fridge'!$A$2:$A$300,0)),0)</f>
        <v>0</v>
      </c>
      <c r="Q16" s="9">
        <f>IFERROR(INDEX('Lower Keg'!$F$2:$F$300,MATCH(A16,'Lower Keg'!$A$2:$A$300,0)),0)</f>
        <v>0</v>
      </c>
      <c r="R16" s="9">
        <f>IFERROR(INDEX('Botanical Storeroom'!$F$2:$F$300,MATCH(A16,'Botanical Storeroom'!$A$2:$A$300,0)),0)</f>
        <v>0</v>
      </c>
      <c r="S16" s="9">
        <f>IFERROR(INDEX('Botanical Bar'!$F$2:$F$300,MATCH(A16,'Botanical Bar'!$A$2:$A$300,0)),0)</f>
        <v>0</v>
      </c>
      <c r="T16" s="9">
        <f>IFERROR(INDEX('Loading Dock Fridge'!$F$2:$F$300,MATCH(A16,'Loading Dock Fridge'!$A$2:$A$300,0)),0)</f>
        <v>0</v>
      </c>
      <c r="U16" s="9">
        <f>IFERROR(INDEX('Postmix Loading Dock'!$F$2:$F$300,MATCH(A16,'Postmix Loading Dock'!$A$2:$A$300,0)),0)</f>
        <v>0</v>
      </c>
      <c r="V16" s="9">
        <f>IFERROR(INDEX('Postmix Lower Keg'!$F$2:$F$300,MATCH(A16,'Postmix Lower Keg'!$A$2:$A$300,0)),0)</f>
        <v>0</v>
      </c>
      <c r="W16" s="10">
        <f>IFERROR(INDEX('Postmix TWR'!$F$2:$F$300,MATCH(A16,'Postmix TWR'!$A$2:$A$300,0)),0)</f>
        <v>0</v>
      </c>
    </row>
    <row r="17" spans="1:23" x14ac:dyDescent="0.35">
      <c r="A17" s="8">
        <v>67145</v>
      </c>
      <c r="B17" s="9" t="s">
        <v>42</v>
      </c>
      <c r="C17" s="9" t="s">
        <v>24</v>
      </c>
      <c r="D17" s="9" t="s">
        <v>43</v>
      </c>
      <c r="E17" s="17">
        <v>24</v>
      </c>
      <c r="F17" s="23">
        <f t="shared" si="0"/>
        <v>0</v>
      </c>
      <c r="G17" s="9">
        <f>IFERROR(INDEX('Juice Fridge'!$F$2:$F$300,MATCH(A17,'Juice Fridge'!$A$2:$A$300,0)),0)</f>
        <v>0</v>
      </c>
      <c r="H17" s="9">
        <f>IFERROR(INDEX('Upper Keg'!$F$2:$F$300,MATCH(A17,'Upper Keg'!$A$2:$A$300,0)),0)</f>
        <v>0</v>
      </c>
      <c r="I17" s="9">
        <f>IFERROR(INDEX('Astral Bar'!$F$2:$F$300,MATCH(A17,'Astral Bar'!$A$2:$A$300,0)),0)</f>
        <v>0</v>
      </c>
      <c r="J17" s="9">
        <f>IFERROR(INDEX('GB1 Bar'!$F$2:$F$300,MATCH(A17,'GB1 Bar'!$A$2:$A$300,0)),0)</f>
        <v>0</v>
      </c>
      <c r="K17" s="9">
        <f>IFERROR(INDEX('GB2 Bar'!$F$2:$F$300,MATCH(A17,'GB2 Bar'!$A$2:$A$300,0)),0)</f>
        <v>0</v>
      </c>
      <c r="L17" s="9">
        <f>IFERROR(INDEX('CB1 Bar'!$F$2:$F$300,MATCH(A17,'CB1 Bar'!$A$2:$A$300,0)),0)</f>
        <v>0</v>
      </c>
      <c r="M17" s="9">
        <f>IFERROR(INDEX('CB2 Bar'!$F$2:$F$300,MATCH(A17,'CB2 Bar'!$A$2:$A$300,0)),0)</f>
        <v>0</v>
      </c>
      <c r="N17" s="9">
        <f>IFERROR(INDEX('CB3 Bar'!$F$2:$F$300,MATCH(A17,'CB3 Bar'!$A$2:$A$300,0)),0)</f>
        <v>0</v>
      </c>
      <c r="O17" s="9">
        <f>IFERROR(INDEX('Spirits Room'!$F$2:$F$300,MATCH(A17,'Spirits Room'!$A$2:$A$300,0)),0)</f>
        <v>0</v>
      </c>
      <c r="P17" s="9">
        <f>IFERROR(INDEX('White Wine Fridge'!$F$2:$F$300,MATCH(A17,'White Wine Fridge'!$A$2:$A$300,0)),0)</f>
        <v>0</v>
      </c>
      <c r="Q17" s="9">
        <f>IFERROR(INDEX('Lower Keg'!$F$2:$F$300,MATCH(A17,'Lower Keg'!$A$2:$A$300,0)),0)</f>
        <v>0</v>
      </c>
      <c r="R17" s="9">
        <f>IFERROR(INDEX('Botanical Storeroom'!$F$2:$F$300,MATCH(A17,'Botanical Storeroom'!$A$2:$A$300,0)),0)</f>
        <v>0</v>
      </c>
      <c r="S17" s="9">
        <f>IFERROR(INDEX('Botanical Bar'!$F$2:$F$300,MATCH(A17,'Botanical Bar'!$A$2:$A$300,0)),0)</f>
        <v>0</v>
      </c>
      <c r="T17" s="9">
        <f>IFERROR(INDEX('Loading Dock Fridge'!$F$2:$F$300,MATCH(A17,'Loading Dock Fridge'!$A$2:$A$300,0)),0)</f>
        <v>0</v>
      </c>
      <c r="U17" s="9">
        <f>IFERROR(INDEX('Postmix Loading Dock'!$F$2:$F$300,MATCH(A17,'Postmix Loading Dock'!$A$2:$A$300,0)),0)</f>
        <v>0</v>
      </c>
      <c r="V17" s="9">
        <f>IFERROR(INDEX('Postmix Lower Keg'!$F$2:$F$300,MATCH(A17,'Postmix Lower Keg'!$A$2:$A$300,0)),0)</f>
        <v>0</v>
      </c>
      <c r="W17" s="10">
        <f>IFERROR(INDEX('Postmix TWR'!$F$2:$F$300,MATCH(A17,'Postmix TWR'!$A$2:$A$300,0)),0)</f>
        <v>0</v>
      </c>
    </row>
    <row r="18" spans="1:23" x14ac:dyDescent="0.35">
      <c r="A18" s="8">
        <v>123</v>
      </c>
      <c r="B18" s="9" t="s">
        <v>44</v>
      </c>
      <c r="C18" s="9" t="s">
        <v>45</v>
      </c>
      <c r="D18" s="9" t="s">
        <v>46</v>
      </c>
      <c r="E18" s="17">
        <v>6</v>
      </c>
      <c r="F18" s="23">
        <f t="shared" si="0"/>
        <v>0</v>
      </c>
      <c r="G18" s="9">
        <f>IFERROR(INDEX('Juice Fridge'!$F$2:$F$300,MATCH(A18,'Juice Fridge'!$A$2:$A$300,0)),0)</f>
        <v>0</v>
      </c>
      <c r="H18" s="9">
        <f>IFERROR(INDEX('Upper Keg'!$F$2:$F$300,MATCH(A18,'Upper Keg'!$A$2:$A$300,0)),0)</f>
        <v>0</v>
      </c>
      <c r="I18" s="9">
        <f>IFERROR(INDEX('Astral Bar'!$F$2:$F$300,MATCH(A18,'Astral Bar'!$A$2:$A$300,0)),0)</f>
        <v>0</v>
      </c>
      <c r="J18" s="9">
        <f>IFERROR(INDEX('GB1 Bar'!$F$2:$F$300,MATCH(A18,'GB1 Bar'!$A$2:$A$300,0)),0)</f>
        <v>0</v>
      </c>
      <c r="K18" s="9">
        <f>IFERROR(INDEX('GB2 Bar'!$F$2:$F$300,MATCH(A18,'GB2 Bar'!$A$2:$A$300,0)),0)</f>
        <v>0</v>
      </c>
      <c r="L18" s="9">
        <f>IFERROR(INDEX('CB1 Bar'!$F$2:$F$300,MATCH(A18,'CB1 Bar'!$A$2:$A$300,0)),0)</f>
        <v>0</v>
      </c>
      <c r="M18" s="9">
        <f>IFERROR(INDEX('CB2 Bar'!$F$2:$F$300,MATCH(A18,'CB2 Bar'!$A$2:$A$300,0)),0)</f>
        <v>0</v>
      </c>
      <c r="N18" s="9">
        <f>IFERROR(INDEX('CB3 Bar'!$F$2:$F$300,MATCH(A18,'CB3 Bar'!$A$2:$A$300,0)),0)</f>
        <v>0</v>
      </c>
      <c r="O18" s="9">
        <f>IFERROR(INDEX('Spirits Room'!$F$2:$F$300,MATCH(A18,'Spirits Room'!$A$2:$A$300,0)),0)</f>
        <v>0</v>
      </c>
      <c r="P18" s="9">
        <f>IFERROR(INDEX('White Wine Fridge'!$F$2:$F$300,MATCH(A18,'White Wine Fridge'!$A$2:$A$300,0)),0)</f>
        <v>0</v>
      </c>
      <c r="Q18" s="9">
        <f>IFERROR(INDEX('Lower Keg'!$F$2:$F$300,MATCH(A18,'Lower Keg'!$A$2:$A$300,0)),0)</f>
        <v>0</v>
      </c>
      <c r="R18" s="9">
        <f>IFERROR(INDEX('Botanical Storeroom'!$F$2:$F$300,MATCH(A18,'Botanical Storeroom'!$A$2:$A$300,0)),0)</f>
        <v>0</v>
      </c>
      <c r="S18" s="9">
        <f>IFERROR(INDEX('Botanical Bar'!$F$2:$F$300,MATCH(A18,'Botanical Bar'!$A$2:$A$300,0)),0)</f>
        <v>0</v>
      </c>
      <c r="T18" s="9">
        <f>IFERROR(INDEX('Loading Dock Fridge'!$F$2:$F$300,MATCH(A18,'Loading Dock Fridge'!$A$2:$A$300,0)),0)</f>
        <v>0</v>
      </c>
      <c r="U18" s="9">
        <f>IFERROR(INDEX('Postmix Loading Dock'!$F$2:$F$300,MATCH(A18,'Postmix Loading Dock'!$A$2:$A$300,0)),0)</f>
        <v>0</v>
      </c>
      <c r="V18" s="9">
        <f>IFERROR(INDEX('Postmix Lower Keg'!$F$2:$F$300,MATCH(A18,'Postmix Lower Keg'!$A$2:$A$300,0)),0)</f>
        <v>0</v>
      </c>
      <c r="W18" s="10">
        <f>IFERROR(INDEX('Postmix TWR'!$F$2:$F$300,MATCH(A18,'Postmix TWR'!$A$2:$A$300,0)),0)</f>
        <v>0</v>
      </c>
    </row>
    <row r="19" spans="1:23" x14ac:dyDescent="0.35">
      <c r="A19" s="8">
        <v>53301</v>
      </c>
      <c r="B19" s="9" t="s">
        <v>44</v>
      </c>
      <c r="C19" s="9" t="s">
        <v>45</v>
      </c>
      <c r="D19" s="9" t="s">
        <v>47</v>
      </c>
      <c r="E19" s="17">
        <v>6</v>
      </c>
      <c r="F19" s="23">
        <f t="shared" si="0"/>
        <v>0</v>
      </c>
      <c r="G19" s="9">
        <f>IFERROR(INDEX('Juice Fridge'!$F$2:$F$300,MATCH(A19,'Juice Fridge'!$A$2:$A$300,0)),0)</f>
        <v>0</v>
      </c>
      <c r="H19" s="9">
        <f>IFERROR(INDEX('Upper Keg'!$F$2:$F$300,MATCH(A19,'Upper Keg'!$A$2:$A$300,0)),0)</f>
        <v>0</v>
      </c>
      <c r="I19" s="9">
        <f>IFERROR(INDEX('Astral Bar'!$F$2:$F$300,MATCH(A19,'Astral Bar'!$A$2:$A$300,0)),0)</f>
        <v>0</v>
      </c>
      <c r="J19" s="9">
        <f>IFERROR(INDEX('GB1 Bar'!$F$2:$F$300,MATCH(A19,'GB1 Bar'!$A$2:$A$300,0)),0)</f>
        <v>0</v>
      </c>
      <c r="K19" s="9">
        <f>IFERROR(INDEX('GB2 Bar'!$F$2:$F$300,MATCH(A19,'GB2 Bar'!$A$2:$A$300,0)),0)</f>
        <v>0</v>
      </c>
      <c r="L19" s="9">
        <f>IFERROR(INDEX('CB1 Bar'!$F$2:$F$300,MATCH(A19,'CB1 Bar'!$A$2:$A$300,0)),0)</f>
        <v>0</v>
      </c>
      <c r="M19" s="9">
        <f>IFERROR(INDEX('CB2 Bar'!$F$2:$F$300,MATCH(A19,'CB2 Bar'!$A$2:$A$300,0)),0)</f>
        <v>0</v>
      </c>
      <c r="N19" s="9">
        <f>IFERROR(INDEX('CB3 Bar'!$F$2:$F$300,MATCH(A19,'CB3 Bar'!$A$2:$A$300,0)),0)</f>
        <v>0</v>
      </c>
      <c r="O19" s="9">
        <f>IFERROR(INDEX('Spirits Room'!$F$2:$F$300,MATCH(A19,'Spirits Room'!$A$2:$A$300,0)),0)</f>
        <v>0</v>
      </c>
      <c r="P19" s="9">
        <f>IFERROR(INDEX('White Wine Fridge'!$F$2:$F$300,MATCH(A19,'White Wine Fridge'!$A$2:$A$300,0)),0)</f>
        <v>0</v>
      </c>
      <c r="Q19" s="9">
        <f>IFERROR(INDEX('Lower Keg'!$F$2:$F$300,MATCH(A19,'Lower Keg'!$A$2:$A$300,0)),0)</f>
        <v>0</v>
      </c>
      <c r="R19" s="9">
        <f>IFERROR(INDEX('Botanical Storeroom'!$F$2:$F$300,MATCH(A19,'Botanical Storeroom'!$A$2:$A$300,0)),0)</f>
        <v>0</v>
      </c>
      <c r="S19" s="9">
        <f>IFERROR(INDEX('Botanical Bar'!$F$2:$F$300,MATCH(A19,'Botanical Bar'!$A$2:$A$300,0)),0)</f>
        <v>0</v>
      </c>
      <c r="T19" s="9">
        <f>IFERROR(INDEX('Loading Dock Fridge'!$F$2:$F$300,MATCH(A19,'Loading Dock Fridge'!$A$2:$A$300,0)),0)</f>
        <v>0</v>
      </c>
      <c r="U19" s="9">
        <f>IFERROR(INDEX('Postmix Loading Dock'!$F$2:$F$300,MATCH(A19,'Postmix Loading Dock'!$A$2:$A$300,0)),0)</f>
        <v>0</v>
      </c>
      <c r="V19" s="9">
        <f>IFERROR(INDEX('Postmix Lower Keg'!$F$2:$F$300,MATCH(A19,'Postmix Lower Keg'!$A$2:$A$300,0)),0)</f>
        <v>0</v>
      </c>
      <c r="W19" s="10">
        <f>IFERROR(INDEX('Postmix TWR'!$F$2:$F$300,MATCH(A19,'Postmix TWR'!$A$2:$A$300,0)),0)</f>
        <v>0</v>
      </c>
    </row>
    <row r="20" spans="1:23" x14ac:dyDescent="0.35">
      <c r="A20" s="8">
        <v>138</v>
      </c>
      <c r="B20" s="9" t="s">
        <v>44</v>
      </c>
      <c r="C20" s="9" t="s">
        <v>45</v>
      </c>
      <c r="D20" s="9" t="s">
        <v>48</v>
      </c>
      <c r="E20" s="17">
        <v>6</v>
      </c>
      <c r="F20" s="23">
        <f t="shared" si="0"/>
        <v>0</v>
      </c>
      <c r="G20" s="9">
        <f>IFERROR(INDEX('Juice Fridge'!$F$2:$F$300,MATCH(A20,'Juice Fridge'!$A$2:$A$300,0)),0)</f>
        <v>0</v>
      </c>
      <c r="H20" s="9">
        <f>IFERROR(INDEX('Upper Keg'!$F$2:$F$300,MATCH(A20,'Upper Keg'!$A$2:$A$300,0)),0)</f>
        <v>0</v>
      </c>
      <c r="I20" s="9">
        <f>IFERROR(INDEX('Astral Bar'!$F$2:$F$300,MATCH(A20,'Astral Bar'!$A$2:$A$300,0)),0)</f>
        <v>0</v>
      </c>
      <c r="J20" s="9">
        <f>IFERROR(INDEX('GB1 Bar'!$F$2:$F$300,MATCH(A20,'GB1 Bar'!$A$2:$A$300,0)),0)</f>
        <v>0</v>
      </c>
      <c r="K20" s="9">
        <f>IFERROR(INDEX('GB2 Bar'!$F$2:$F$300,MATCH(A20,'GB2 Bar'!$A$2:$A$300,0)),0)</f>
        <v>0</v>
      </c>
      <c r="L20" s="9">
        <f>IFERROR(INDEX('CB1 Bar'!$F$2:$F$300,MATCH(A20,'CB1 Bar'!$A$2:$A$300,0)),0)</f>
        <v>0</v>
      </c>
      <c r="M20" s="9">
        <f>IFERROR(INDEX('CB2 Bar'!$F$2:$F$300,MATCH(A20,'CB2 Bar'!$A$2:$A$300,0)),0)</f>
        <v>0</v>
      </c>
      <c r="N20" s="9">
        <f>IFERROR(INDEX('CB3 Bar'!$F$2:$F$300,MATCH(A20,'CB3 Bar'!$A$2:$A$300,0)),0)</f>
        <v>0</v>
      </c>
      <c r="O20" s="9">
        <f>IFERROR(INDEX('Spirits Room'!$F$2:$F$300,MATCH(A20,'Spirits Room'!$A$2:$A$300,0)),0)</f>
        <v>0</v>
      </c>
      <c r="P20" s="9">
        <f>IFERROR(INDEX('White Wine Fridge'!$F$2:$F$300,MATCH(A20,'White Wine Fridge'!$A$2:$A$300,0)),0)</f>
        <v>0</v>
      </c>
      <c r="Q20" s="9">
        <f>IFERROR(INDEX('Lower Keg'!$F$2:$F$300,MATCH(A20,'Lower Keg'!$A$2:$A$300,0)),0)</f>
        <v>0</v>
      </c>
      <c r="R20" s="9">
        <f>IFERROR(INDEX('Botanical Storeroom'!$F$2:$F$300,MATCH(A20,'Botanical Storeroom'!$A$2:$A$300,0)),0)</f>
        <v>0</v>
      </c>
      <c r="S20" s="9">
        <f>IFERROR(INDEX('Botanical Bar'!$F$2:$F$300,MATCH(A20,'Botanical Bar'!$A$2:$A$300,0)),0)</f>
        <v>0</v>
      </c>
      <c r="T20" s="9">
        <f>IFERROR(INDEX('Loading Dock Fridge'!$F$2:$F$300,MATCH(A20,'Loading Dock Fridge'!$A$2:$A$300,0)),0)</f>
        <v>0</v>
      </c>
      <c r="U20" s="9">
        <f>IFERROR(INDEX('Postmix Loading Dock'!$F$2:$F$300,MATCH(A20,'Postmix Loading Dock'!$A$2:$A$300,0)),0)</f>
        <v>0</v>
      </c>
      <c r="V20" s="9">
        <f>IFERROR(INDEX('Postmix Lower Keg'!$F$2:$F$300,MATCH(A20,'Postmix Lower Keg'!$A$2:$A$300,0)),0)</f>
        <v>0</v>
      </c>
      <c r="W20" s="10">
        <f>IFERROR(INDEX('Postmix TWR'!$F$2:$F$300,MATCH(A20,'Postmix TWR'!$A$2:$A$300,0)),0)</f>
        <v>0</v>
      </c>
    </row>
    <row r="21" spans="1:23" x14ac:dyDescent="0.35">
      <c r="A21" s="8">
        <v>134</v>
      </c>
      <c r="B21" s="9" t="s">
        <v>44</v>
      </c>
      <c r="C21" s="9" t="s">
        <v>45</v>
      </c>
      <c r="D21" s="9" t="s">
        <v>49</v>
      </c>
      <c r="E21" s="17">
        <v>6</v>
      </c>
      <c r="F21" s="23">
        <f t="shared" si="0"/>
        <v>0</v>
      </c>
      <c r="G21" s="9">
        <f>IFERROR(INDEX('Juice Fridge'!$F$2:$F$300,MATCH(A21,'Juice Fridge'!$A$2:$A$300,0)),0)</f>
        <v>0</v>
      </c>
      <c r="H21" s="9">
        <f>IFERROR(INDEX('Upper Keg'!$F$2:$F$300,MATCH(A21,'Upper Keg'!$A$2:$A$300,0)),0)</f>
        <v>0</v>
      </c>
      <c r="I21" s="9">
        <f>IFERROR(INDEX('Astral Bar'!$F$2:$F$300,MATCH(A21,'Astral Bar'!$A$2:$A$300,0)),0)</f>
        <v>0</v>
      </c>
      <c r="J21" s="9">
        <f>IFERROR(INDEX('GB1 Bar'!$F$2:$F$300,MATCH(A21,'GB1 Bar'!$A$2:$A$300,0)),0)</f>
        <v>0</v>
      </c>
      <c r="K21" s="9">
        <f>IFERROR(INDEX('GB2 Bar'!$F$2:$F$300,MATCH(A21,'GB2 Bar'!$A$2:$A$300,0)),0)</f>
        <v>0</v>
      </c>
      <c r="L21" s="9">
        <f>IFERROR(INDEX('CB1 Bar'!$F$2:$F$300,MATCH(A21,'CB1 Bar'!$A$2:$A$300,0)),0)</f>
        <v>0</v>
      </c>
      <c r="M21" s="9">
        <f>IFERROR(INDEX('CB2 Bar'!$F$2:$F$300,MATCH(A21,'CB2 Bar'!$A$2:$A$300,0)),0)</f>
        <v>0</v>
      </c>
      <c r="N21" s="9">
        <f>IFERROR(INDEX('CB3 Bar'!$F$2:$F$300,MATCH(A21,'CB3 Bar'!$A$2:$A$300,0)),0)</f>
        <v>0</v>
      </c>
      <c r="O21" s="9">
        <f>IFERROR(INDEX('Spirits Room'!$F$2:$F$300,MATCH(A21,'Spirits Room'!$A$2:$A$300,0)),0)</f>
        <v>0</v>
      </c>
      <c r="P21" s="9">
        <f>IFERROR(INDEX('White Wine Fridge'!$F$2:$F$300,MATCH(A21,'White Wine Fridge'!$A$2:$A$300,0)),0)</f>
        <v>0</v>
      </c>
      <c r="Q21" s="9">
        <f>IFERROR(INDEX('Lower Keg'!$F$2:$F$300,MATCH(A21,'Lower Keg'!$A$2:$A$300,0)),0)</f>
        <v>0</v>
      </c>
      <c r="R21" s="9">
        <f>IFERROR(INDEX('Botanical Storeroom'!$F$2:$F$300,MATCH(A21,'Botanical Storeroom'!$A$2:$A$300,0)),0)</f>
        <v>0</v>
      </c>
      <c r="S21" s="9">
        <f>IFERROR(INDEX('Botanical Bar'!$F$2:$F$300,MATCH(A21,'Botanical Bar'!$A$2:$A$300,0)),0)</f>
        <v>0</v>
      </c>
      <c r="T21" s="9">
        <f>IFERROR(INDEX('Loading Dock Fridge'!$F$2:$F$300,MATCH(A21,'Loading Dock Fridge'!$A$2:$A$300,0)),0)</f>
        <v>0</v>
      </c>
      <c r="U21" s="9">
        <f>IFERROR(INDEX('Postmix Loading Dock'!$F$2:$F$300,MATCH(A21,'Postmix Loading Dock'!$A$2:$A$300,0)),0)</f>
        <v>0</v>
      </c>
      <c r="V21" s="9">
        <f>IFERROR(INDEX('Postmix Lower Keg'!$F$2:$F$300,MATCH(A21,'Postmix Lower Keg'!$A$2:$A$300,0)),0)</f>
        <v>0</v>
      </c>
      <c r="W21" s="10">
        <f>IFERROR(INDEX('Postmix TWR'!$F$2:$F$300,MATCH(A21,'Postmix TWR'!$A$2:$A$300,0)),0)</f>
        <v>0</v>
      </c>
    </row>
    <row r="22" spans="1:23" x14ac:dyDescent="0.35">
      <c r="A22" s="8">
        <v>41536</v>
      </c>
      <c r="B22" s="9" t="s">
        <v>50</v>
      </c>
      <c r="C22" s="9" t="s">
        <v>45</v>
      </c>
      <c r="D22" s="9" t="s">
        <v>51</v>
      </c>
      <c r="E22" s="17">
        <v>6</v>
      </c>
      <c r="F22" s="23">
        <f t="shared" si="0"/>
        <v>0</v>
      </c>
      <c r="G22" s="9">
        <f>IFERROR(INDEX('Juice Fridge'!$F$2:$F$300,MATCH(A22,'Juice Fridge'!$A$2:$A$300,0)),0)</f>
        <v>0</v>
      </c>
      <c r="H22" s="9">
        <f>IFERROR(INDEX('Upper Keg'!$F$2:$F$300,MATCH(A22,'Upper Keg'!$A$2:$A$300,0)),0)</f>
        <v>0</v>
      </c>
      <c r="I22" s="9">
        <f>IFERROR(INDEX('Astral Bar'!$F$2:$F$300,MATCH(A22,'Astral Bar'!$A$2:$A$300,0)),0)</f>
        <v>0</v>
      </c>
      <c r="J22" s="9">
        <f>IFERROR(INDEX('GB1 Bar'!$F$2:$F$300,MATCH(A22,'GB1 Bar'!$A$2:$A$300,0)),0)</f>
        <v>0</v>
      </c>
      <c r="K22" s="9">
        <f>IFERROR(INDEX('GB2 Bar'!$F$2:$F$300,MATCH(A22,'GB2 Bar'!$A$2:$A$300,0)),0)</f>
        <v>0</v>
      </c>
      <c r="L22" s="9">
        <f>IFERROR(INDEX('CB1 Bar'!$F$2:$F$300,MATCH(A22,'CB1 Bar'!$A$2:$A$300,0)),0)</f>
        <v>0</v>
      </c>
      <c r="M22" s="9">
        <f>IFERROR(INDEX('CB2 Bar'!$F$2:$F$300,MATCH(A22,'CB2 Bar'!$A$2:$A$300,0)),0)</f>
        <v>0</v>
      </c>
      <c r="N22" s="9">
        <f>IFERROR(INDEX('CB3 Bar'!$F$2:$F$300,MATCH(A22,'CB3 Bar'!$A$2:$A$300,0)),0)</f>
        <v>0</v>
      </c>
      <c r="O22" s="9">
        <f>IFERROR(INDEX('Spirits Room'!$F$2:$F$300,MATCH(A22,'Spirits Room'!$A$2:$A$300,0)),0)</f>
        <v>0</v>
      </c>
      <c r="P22" s="9">
        <f>IFERROR(INDEX('White Wine Fridge'!$F$2:$F$300,MATCH(A22,'White Wine Fridge'!$A$2:$A$300,0)),0)</f>
        <v>0</v>
      </c>
      <c r="Q22" s="9">
        <f>IFERROR(INDEX('Lower Keg'!$F$2:$F$300,MATCH(A22,'Lower Keg'!$A$2:$A$300,0)),0)</f>
        <v>0</v>
      </c>
      <c r="R22" s="9">
        <f>IFERROR(INDEX('Botanical Storeroom'!$F$2:$F$300,MATCH(A22,'Botanical Storeroom'!$A$2:$A$300,0)),0)</f>
        <v>0</v>
      </c>
      <c r="S22" s="9">
        <f>IFERROR(INDEX('Botanical Bar'!$F$2:$F$300,MATCH(A22,'Botanical Bar'!$A$2:$A$300,0)),0)</f>
        <v>0</v>
      </c>
      <c r="T22" s="9">
        <f>IFERROR(INDEX('Loading Dock Fridge'!$F$2:$F$300,MATCH(A22,'Loading Dock Fridge'!$A$2:$A$300,0)),0)</f>
        <v>0</v>
      </c>
      <c r="U22" s="9">
        <f>IFERROR(INDEX('Postmix Loading Dock'!$F$2:$F$300,MATCH(A22,'Postmix Loading Dock'!$A$2:$A$300,0)),0)</f>
        <v>0</v>
      </c>
      <c r="V22" s="9">
        <f>IFERROR(INDEX('Postmix Lower Keg'!$F$2:$F$300,MATCH(A22,'Postmix Lower Keg'!$A$2:$A$300,0)),0)</f>
        <v>0</v>
      </c>
      <c r="W22" s="10">
        <f>IFERROR(INDEX('Postmix TWR'!$F$2:$F$300,MATCH(A22,'Postmix TWR'!$A$2:$A$300,0)),0)</f>
        <v>0</v>
      </c>
    </row>
    <row r="23" spans="1:23" x14ac:dyDescent="0.35">
      <c r="A23" s="8">
        <v>55914</v>
      </c>
      <c r="B23" s="9" t="s">
        <v>50</v>
      </c>
      <c r="C23" s="9" t="s">
        <v>45</v>
      </c>
      <c r="D23" s="9" t="s">
        <v>52</v>
      </c>
      <c r="E23" s="17">
        <v>6</v>
      </c>
      <c r="F23" s="23">
        <f t="shared" si="0"/>
        <v>0</v>
      </c>
      <c r="G23" s="9">
        <f>IFERROR(INDEX('Juice Fridge'!$F$2:$F$300,MATCH(A23,'Juice Fridge'!$A$2:$A$300,0)),0)</f>
        <v>0</v>
      </c>
      <c r="H23" s="9">
        <f>IFERROR(INDEX('Upper Keg'!$F$2:$F$300,MATCH(A23,'Upper Keg'!$A$2:$A$300,0)),0)</f>
        <v>0</v>
      </c>
      <c r="I23" s="9">
        <f>IFERROR(INDEX('Astral Bar'!$F$2:$F$300,MATCH(A23,'Astral Bar'!$A$2:$A$300,0)),0)</f>
        <v>0</v>
      </c>
      <c r="J23" s="9">
        <f>IFERROR(INDEX('GB1 Bar'!$F$2:$F$300,MATCH(A23,'GB1 Bar'!$A$2:$A$300,0)),0)</f>
        <v>0</v>
      </c>
      <c r="K23" s="9">
        <f>IFERROR(INDEX('GB2 Bar'!$F$2:$F$300,MATCH(A23,'GB2 Bar'!$A$2:$A$300,0)),0)</f>
        <v>0</v>
      </c>
      <c r="L23" s="9">
        <f>IFERROR(INDEX('CB1 Bar'!$F$2:$F$300,MATCH(A23,'CB1 Bar'!$A$2:$A$300,0)),0)</f>
        <v>0</v>
      </c>
      <c r="M23" s="9">
        <f>IFERROR(INDEX('CB2 Bar'!$F$2:$F$300,MATCH(A23,'CB2 Bar'!$A$2:$A$300,0)),0)</f>
        <v>0</v>
      </c>
      <c r="N23" s="9">
        <f>IFERROR(INDEX('CB3 Bar'!$F$2:$F$300,MATCH(A23,'CB3 Bar'!$A$2:$A$300,0)),0)</f>
        <v>0</v>
      </c>
      <c r="O23" s="9">
        <f>IFERROR(INDEX('Spirits Room'!$F$2:$F$300,MATCH(A23,'Spirits Room'!$A$2:$A$300,0)),0)</f>
        <v>0</v>
      </c>
      <c r="P23" s="9">
        <f>IFERROR(INDEX('White Wine Fridge'!$F$2:$F$300,MATCH(A23,'White Wine Fridge'!$A$2:$A$300,0)),0)</f>
        <v>0</v>
      </c>
      <c r="Q23" s="9">
        <f>IFERROR(INDEX('Lower Keg'!$F$2:$F$300,MATCH(A23,'Lower Keg'!$A$2:$A$300,0)),0)</f>
        <v>0</v>
      </c>
      <c r="R23" s="9">
        <f>IFERROR(INDEX('Botanical Storeroom'!$F$2:$F$300,MATCH(A23,'Botanical Storeroom'!$A$2:$A$300,0)),0)</f>
        <v>0</v>
      </c>
      <c r="S23" s="9">
        <f>IFERROR(INDEX('Botanical Bar'!$F$2:$F$300,MATCH(A23,'Botanical Bar'!$A$2:$A$300,0)),0)</f>
        <v>0</v>
      </c>
      <c r="T23" s="9">
        <f>IFERROR(INDEX('Loading Dock Fridge'!$F$2:$F$300,MATCH(A23,'Loading Dock Fridge'!$A$2:$A$300,0)),0)</f>
        <v>0</v>
      </c>
      <c r="U23" s="9">
        <f>IFERROR(INDEX('Postmix Loading Dock'!$F$2:$F$300,MATCH(A23,'Postmix Loading Dock'!$A$2:$A$300,0)),0)</f>
        <v>0</v>
      </c>
      <c r="V23" s="9">
        <f>IFERROR(INDEX('Postmix Lower Keg'!$F$2:$F$300,MATCH(A23,'Postmix Lower Keg'!$A$2:$A$300,0)),0)</f>
        <v>0</v>
      </c>
      <c r="W23" s="10">
        <f>IFERROR(INDEX('Postmix TWR'!$F$2:$F$300,MATCH(A23,'Postmix TWR'!$A$2:$A$300,0)),0)</f>
        <v>0</v>
      </c>
    </row>
    <row r="24" spans="1:23" x14ac:dyDescent="0.35">
      <c r="A24" s="8">
        <v>68571</v>
      </c>
      <c r="B24" s="9" t="s">
        <v>53</v>
      </c>
      <c r="C24" s="9" t="s">
        <v>54</v>
      </c>
      <c r="D24" s="9" t="s">
        <v>55</v>
      </c>
      <c r="E24" s="17">
        <v>12</v>
      </c>
      <c r="F24" s="23">
        <f t="shared" si="0"/>
        <v>0</v>
      </c>
      <c r="G24" s="9">
        <f>IFERROR(INDEX('Juice Fridge'!$F$2:$F$300,MATCH(A24,'Juice Fridge'!$A$2:$A$300,0)),0)</f>
        <v>0</v>
      </c>
      <c r="H24" s="9">
        <f>IFERROR(INDEX('Upper Keg'!$F$2:$F$300,MATCH(A24,'Upper Keg'!$A$2:$A$300,0)),0)</f>
        <v>0</v>
      </c>
      <c r="I24" s="9">
        <f>IFERROR(INDEX('Astral Bar'!$F$2:$F$300,MATCH(A24,'Astral Bar'!$A$2:$A$300,0)),0)</f>
        <v>0</v>
      </c>
      <c r="J24" s="9">
        <f>IFERROR(INDEX('GB1 Bar'!$F$2:$F$300,MATCH(A24,'GB1 Bar'!$A$2:$A$300,0)),0)</f>
        <v>0</v>
      </c>
      <c r="K24" s="9">
        <f>IFERROR(INDEX('GB2 Bar'!$F$2:$F$300,MATCH(A24,'GB2 Bar'!$A$2:$A$300,0)),0)</f>
        <v>0</v>
      </c>
      <c r="L24" s="9">
        <f>IFERROR(INDEX('CB1 Bar'!$F$2:$F$300,MATCH(A24,'CB1 Bar'!$A$2:$A$300,0)),0)</f>
        <v>0</v>
      </c>
      <c r="M24" s="9">
        <f>IFERROR(INDEX('CB2 Bar'!$F$2:$F$300,MATCH(A24,'CB2 Bar'!$A$2:$A$300,0)),0)</f>
        <v>0</v>
      </c>
      <c r="N24" s="9">
        <f>IFERROR(INDEX('CB3 Bar'!$F$2:$F$300,MATCH(A24,'CB3 Bar'!$A$2:$A$300,0)),0)</f>
        <v>0</v>
      </c>
      <c r="O24" s="9">
        <f>IFERROR(INDEX('Spirits Room'!$F$2:$F$300,MATCH(A24,'Spirits Room'!$A$2:$A$300,0)),0)</f>
        <v>0</v>
      </c>
      <c r="P24" s="9">
        <f>IFERROR(INDEX('White Wine Fridge'!$F$2:$F$300,MATCH(A24,'White Wine Fridge'!$A$2:$A$300,0)),0)</f>
        <v>0</v>
      </c>
      <c r="Q24" s="9">
        <f>IFERROR(INDEX('Lower Keg'!$F$2:$F$300,MATCH(A24,'Lower Keg'!$A$2:$A$300,0)),0)</f>
        <v>0</v>
      </c>
      <c r="R24" s="9">
        <f>IFERROR(INDEX('Botanical Storeroom'!$F$2:$F$300,MATCH(A24,'Botanical Storeroom'!$A$2:$A$300,0)),0)</f>
        <v>0</v>
      </c>
      <c r="S24" s="9">
        <f>IFERROR(INDEX('Botanical Bar'!$F$2:$F$300,MATCH(A24,'Botanical Bar'!$A$2:$A$300,0)),0)</f>
        <v>0</v>
      </c>
      <c r="T24" s="9">
        <f>IFERROR(INDEX('Loading Dock Fridge'!$F$2:$F$300,MATCH(A24,'Loading Dock Fridge'!$A$2:$A$300,0)),0)</f>
        <v>0</v>
      </c>
      <c r="U24" s="9">
        <f>IFERROR(INDEX('Postmix Loading Dock'!$F$2:$F$300,MATCH(A24,'Postmix Loading Dock'!$A$2:$A$300,0)),0)</f>
        <v>0</v>
      </c>
      <c r="V24" s="9">
        <f>IFERROR(INDEX('Postmix Lower Keg'!$F$2:$F$300,MATCH(A24,'Postmix Lower Keg'!$A$2:$A$300,0)),0)</f>
        <v>0</v>
      </c>
      <c r="W24" s="10">
        <f>IFERROR(INDEX('Postmix TWR'!$F$2:$F$300,MATCH(A24,'Postmix TWR'!$A$2:$A$300,0)),0)</f>
        <v>0</v>
      </c>
    </row>
    <row r="25" spans="1:23" x14ac:dyDescent="0.35">
      <c r="A25" s="8">
        <v>70373</v>
      </c>
      <c r="B25" s="9" t="s">
        <v>53</v>
      </c>
      <c r="C25" s="9" t="s">
        <v>54</v>
      </c>
      <c r="D25" s="9" t="s">
        <v>56</v>
      </c>
      <c r="E25" s="17">
        <v>6</v>
      </c>
      <c r="F25" s="23">
        <f t="shared" si="0"/>
        <v>0</v>
      </c>
      <c r="G25" s="9">
        <f>IFERROR(INDEX('Juice Fridge'!$F$2:$F$300,MATCH(A25,'Juice Fridge'!$A$2:$A$300,0)),0)</f>
        <v>0</v>
      </c>
      <c r="H25" s="9">
        <f>IFERROR(INDEX('Upper Keg'!$F$2:$F$300,MATCH(A25,'Upper Keg'!$A$2:$A$300,0)),0)</f>
        <v>0</v>
      </c>
      <c r="I25" s="9">
        <f>IFERROR(INDEX('Astral Bar'!$F$2:$F$300,MATCH(A25,'Astral Bar'!$A$2:$A$300,0)),0)</f>
        <v>0</v>
      </c>
      <c r="J25" s="9">
        <f>IFERROR(INDEX('GB1 Bar'!$F$2:$F$300,MATCH(A25,'GB1 Bar'!$A$2:$A$300,0)),0)</f>
        <v>0</v>
      </c>
      <c r="K25" s="9">
        <f>IFERROR(INDEX('GB2 Bar'!$F$2:$F$300,MATCH(A25,'GB2 Bar'!$A$2:$A$300,0)),0)</f>
        <v>0</v>
      </c>
      <c r="L25" s="9">
        <f>IFERROR(INDEX('CB1 Bar'!$F$2:$F$300,MATCH(A25,'CB1 Bar'!$A$2:$A$300,0)),0)</f>
        <v>0</v>
      </c>
      <c r="M25" s="9">
        <f>IFERROR(INDEX('CB2 Bar'!$F$2:$F$300,MATCH(A25,'CB2 Bar'!$A$2:$A$300,0)),0)</f>
        <v>0</v>
      </c>
      <c r="N25" s="9">
        <f>IFERROR(INDEX('CB3 Bar'!$F$2:$F$300,MATCH(A25,'CB3 Bar'!$A$2:$A$300,0)),0)</f>
        <v>0</v>
      </c>
      <c r="O25" s="9">
        <f>IFERROR(INDEX('Spirits Room'!$F$2:$F$300,MATCH(A25,'Spirits Room'!$A$2:$A$300,0)),0)</f>
        <v>0</v>
      </c>
      <c r="P25" s="9">
        <f>IFERROR(INDEX('White Wine Fridge'!$F$2:$F$300,MATCH(A25,'White Wine Fridge'!$A$2:$A$300,0)),0)</f>
        <v>0</v>
      </c>
      <c r="Q25" s="9">
        <f>IFERROR(INDEX('Lower Keg'!$F$2:$F$300,MATCH(A25,'Lower Keg'!$A$2:$A$300,0)),0)</f>
        <v>0</v>
      </c>
      <c r="R25" s="9">
        <f>IFERROR(INDEX('Botanical Storeroom'!$F$2:$F$300,MATCH(A25,'Botanical Storeroom'!$A$2:$A$300,0)),0)</f>
        <v>0</v>
      </c>
      <c r="S25" s="9">
        <f>IFERROR(INDEX('Botanical Bar'!$F$2:$F$300,MATCH(A25,'Botanical Bar'!$A$2:$A$300,0)),0)</f>
        <v>0</v>
      </c>
      <c r="T25" s="9">
        <f>IFERROR(INDEX('Loading Dock Fridge'!$F$2:$F$300,MATCH(A25,'Loading Dock Fridge'!$A$2:$A$300,0)),0)</f>
        <v>0</v>
      </c>
      <c r="U25" s="9">
        <f>IFERROR(INDEX('Postmix Loading Dock'!$F$2:$F$300,MATCH(A25,'Postmix Loading Dock'!$A$2:$A$300,0)),0)</f>
        <v>0</v>
      </c>
      <c r="V25" s="9">
        <f>IFERROR(INDEX('Postmix Lower Keg'!$F$2:$F$300,MATCH(A25,'Postmix Lower Keg'!$A$2:$A$300,0)),0)</f>
        <v>0</v>
      </c>
      <c r="W25" s="10">
        <f>IFERROR(INDEX('Postmix TWR'!$F$2:$F$300,MATCH(A25,'Postmix TWR'!$A$2:$A$300,0)),0)</f>
        <v>0</v>
      </c>
    </row>
    <row r="26" spans="1:23" x14ac:dyDescent="0.35">
      <c r="A26" s="8">
        <v>70383</v>
      </c>
      <c r="B26" s="9" t="s">
        <v>53</v>
      </c>
      <c r="C26" s="9" t="s">
        <v>54</v>
      </c>
      <c r="D26" s="9" t="s">
        <v>57</v>
      </c>
      <c r="E26" s="17">
        <v>6</v>
      </c>
      <c r="F26" s="23">
        <f t="shared" si="0"/>
        <v>0</v>
      </c>
      <c r="G26" s="9">
        <f>IFERROR(INDEX('Juice Fridge'!$F$2:$F$300,MATCH(A26,'Juice Fridge'!$A$2:$A$300,0)),0)</f>
        <v>0</v>
      </c>
      <c r="H26" s="9">
        <f>IFERROR(INDEX('Upper Keg'!$F$2:$F$300,MATCH(A26,'Upper Keg'!$A$2:$A$300,0)),0)</f>
        <v>0</v>
      </c>
      <c r="I26" s="9">
        <f>IFERROR(INDEX('Astral Bar'!$F$2:$F$300,MATCH(A26,'Astral Bar'!$A$2:$A$300,0)),0)</f>
        <v>0</v>
      </c>
      <c r="J26" s="9">
        <f>IFERROR(INDEX('GB1 Bar'!$F$2:$F$300,MATCH(A26,'GB1 Bar'!$A$2:$A$300,0)),0)</f>
        <v>0</v>
      </c>
      <c r="K26" s="9">
        <f>IFERROR(INDEX('GB2 Bar'!$F$2:$F$300,MATCH(A26,'GB2 Bar'!$A$2:$A$300,0)),0)</f>
        <v>0</v>
      </c>
      <c r="L26" s="9">
        <f>IFERROR(INDEX('CB1 Bar'!$F$2:$F$300,MATCH(A26,'CB1 Bar'!$A$2:$A$300,0)),0)</f>
        <v>0</v>
      </c>
      <c r="M26" s="9">
        <f>IFERROR(INDEX('CB2 Bar'!$F$2:$F$300,MATCH(A26,'CB2 Bar'!$A$2:$A$300,0)),0)</f>
        <v>0</v>
      </c>
      <c r="N26" s="9">
        <f>IFERROR(INDEX('CB3 Bar'!$F$2:$F$300,MATCH(A26,'CB3 Bar'!$A$2:$A$300,0)),0)</f>
        <v>0</v>
      </c>
      <c r="O26" s="9">
        <f>IFERROR(INDEX('Spirits Room'!$F$2:$F$300,MATCH(A26,'Spirits Room'!$A$2:$A$300,0)),0)</f>
        <v>0</v>
      </c>
      <c r="P26" s="9">
        <f>IFERROR(INDEX('White Wine Fridge'!$F$2:$F$300,MATCH(A26,'White Wine Fridge'!$A$2:$A$300,0)),0)</f>
        <v>0</v>
      </c>
      <c r="Q26" s="9">
        <f>IFERROR(INDEX('Lower Keg'!$F$2:$F$300,MATCH(A26,'Lower Keg'!$A$2:$A$300,0)),0)</f>
        <v>0</v>
      </c>
      <c r="R26" s="9">
        <f>IFERROR(INDEX('Botanical Storeroom'!$F$2:$F$300,MATCH(A26,'Botanical Storeroom'!$A$2:$A$300,0)),0)</f>
        <v>0</v>
      </c>
      <c r="S26" s="9">
        <f>IFERROR(INDEX('Botanical Bar'!$F$2:$F$300,MATCH(A26,'Botanical Bar'!$A$2:$A$300,0)),0)</f>
        <v>0</v>
      </c>
      <c r="T26" s="9">
        <f>IFERROR(INDEX('Loading Dock Fridge'!$F$2:$F$300,MATCH(A26,'Loading Dock Fridge'!$A$2:$A$300,0)),0)</f>
        <v>0</v>
      </c>
      <c r="U26" s="9">
        <f>IFERROR(INDEX('Postmix Loading Dock'!$F$2:$F$300,MATCH(A26,'Postmix Loading Dock'!$A$2:$A$300,0)),0)</f>
        <v>0</v>
      </c>
      <c r="V26" s="9">
        <f>IFERROR(INDEX('Postmix Lower Keg'!$F$2:$F$300,MATCH(A26,'Postmix Lower Keg'!$A$2:$A$300,0)),0)</f>
        <v>0</v>
      </c>
      <c r="W26" s="10">
        <f>IFERROR(INDEX('Postmix TWR'!$F$2:$F$300,MATCH(A26,'Postmix TWR'!$A$2:$A$300,0)),0)</f>
        <v>0</v>
      </c>
    </row>
    <row r="27" spans="1:23" x14ac:dyDescent="0.35">
      <c r="A27" s="8">
        <v>62755</v>
      </c>
      <c r="B27" s="9" t="s">
        <v>53</v>
      </c>
      <c r="C27" s="9" t="s">
        <v>54</v>
      </c>
      <c r="D27" s="9" t="s">
        <v>58</v>
      </c>
      <c r="E27" s="17">
        <v>6</v>
      </c>
      <c r="F27" s="23">
        <f t="shared" si="0"/>
        <v>0</v>
      </c>
      <c r="G27" s="9">
        <f>IFERROR(INDEX('Juice Fridge'!$F$2:$F$300,MATCH(A27,'Juice Fridge'!$A$2:$A$300,0)),0)</f>
        <v>0</v>
      </c>
      <c r="H27" s="9">
        <f>IFERROR(INDEX('Upper Keg'!$F$2:$F$300,MATCH(A27,'Upper Keg'!$A$2:$A$300,0)),0)</f>
        <v>0</v>
      </c>
      <c r="I27" s="9">
        <f>IFERROR(INDEX('Astral Bar'!$F$2:$F$300,MATCH(A27,'Astral Bar'!$A$2:$A$300,0)),0)</f>
        <v>0</v>
      </c>
      <c r="J27" s="9">
        <f>IFERROR(INDEX('GB1 Bar'!$F$2:$F$300,MATCH(A27,'GB1 Bar'!$A$2:$A$300,0)),0)</f>
        <v>0</v>
      </c>
      <c r="K27" s="9">
        <f>IFERROR(INDEX('GB2 Bar'!$F$2:$F$300,MATCH(A27,'GB2 Bar'!$A$2:$A$300,0)),0)</f>
        <v>0</v>
      </c>
      <c r="L27" s="9">
        <f>IFERROR(INDEX('CB1 Bar'!$F$2:$F$300,MATCH(A27,'CB1 Bar'!$A$2:$A$300,0)),0)</f>
        <v>0</v>
      </c>
      <c r="M27" s="9">
        <f>IFERROR(INDEX('CB2 Bar'!$F$2:$F$300,MATCH(A27,'CB2 Bar'!$A$2:$A$300,0)),0)</f>
        <v>0</v>
      </c>
      <c r="N27" s="9">
        <f>IFERROR(INDEX('CB3 Bar'!$F$2:$F$300,MATCH(A27,'CB3 Bar'!$A$2:$A$300,0)),0)</f>
        <v>0</v>
      </c>
      <c r="O27" s="9">
        <f>IFERROR(INDEX('Spirits Room'!$F$2:$F$300,MATCH(A27,'Spirits Room'!$A$2:$A$300,0)),0)</f>
        <v>0</v>
      </c>
      <c r="P27" s="9">
        <f>IFERROR(INDEX('White Wine Fridge'!$F$2:$F$300,MATCH(A27,'White Wine Fridge'!$A$2:$A$300,0)),0)</f>
        <v>0</v>
      </c>
      <c r="Q27" s="9">
        <f>IFERROR(INDEX('Lower Keg'!$F$2:$F$300,MATCH(A27,'Lower Keg'!$A$2:$A$300,0)),0)</f>
        <v>0</v>
      </c>
      <c r="R27" s="9">
        <f>IFERROR(INDEX('Botanical Storeroom'!$F$2:$F$300,MATCH(A27,'Botanical Storeroom'!$A$2:$A$300,0)),0)</f>
        <v>0</v>
      </c>
      <c r="S27" s="9">
        <f>IFERROR(INDEX('Botanical Bar'!$F$2:$F$300,MATCH(A27,'Botanical Bar'!$A$2:$A$300,0)),0)</f>
        <v>0</v>
      </c>
      <c r="T27" s="9">
        <f>IFERROR(INDEX('Loading Dock Fridge'!$F$2:$F$300,MATCH(A27,'Loading Dock Fridge'!$A$2:$A$300,0)),0)</f>
        <v>0</v>
      </c>
      <c r="U27" s="9">
        <f>IFERROR(INDEX('Postmix Loading Dock'!$F$2:$F$300,MATCH(A27,'Postmix Loading Dock'!$A$2:$A$300,0)),0)</f>
        <v>0</v>
      </c>
      <c r="V27" s="9">
        <f>IFERROR(INDEX('Postmix Lower Keg'!$F$2:$F$300,MATCH(A27,'Postmix Lower Keg'!$A$2:$A$300,0)),0)</f>
        <v>0</v>
      </c>
      <c r="W27" s="10">
        <f>IFERROR(INDEX('Postmix TWR'!$F$2:$F$300,MATCH(A27,'Postmix TWR'!$A$2:$A$300,0)),0)</f>
        <v>0</v>
      </c>
    </row>
    <row r="28" spans="1:23" x14ac:dyDescent="0.35">
      <c r="A28" s="8">
        <v>232</v>
      </c>
      <c r="B28" s="9" t="s">
        <v>53</v>
      </c>
      <c r="C28" s="9" t="s">
        <v>54</v>
      </c>
      <c r="D28" s="9" t="s">
        <v>59</v>
      </c>
      <c r="E28" s="17">
        <v>8</v>
      </c>
      <c r="F28" s="23">
        <f t="shared" si="0"/>
        <v>0</v>
      </c>
      <c r="G28" s="9">
        <f>IFERROR(INDEX('Juice Fridge'!$F$2:$F$300,MATCH(A28,'Juice Fridge'!$A$2:$A$300,0)),0)</f>
        <v>0</v>
      </c>
      <c r="H28" s="9">
        <f>IFERROR(INDEX('Upper Keg'!$F$2:$F$300,MATCH(A28,'Upper Keg'!$A$2:$A$300,0)),0)</f>
        <v>0</v>
      </c>
      <c r="I28" s="9">
        <f>IFERROR(INDEX('Astral Bar'!$F$2:$F$300,MATCH(A28,'Astral Bar'!$A$2:$A$300,0)),0)</f>
        <v>0</v>
      </c>
      <c r="J28" s="9">
        <f>IFERROR(INDEX('GB1 Bar'!$F$2:$F$300,MATCH(A28,'GB1 Bar'!$A$2:$A$300,0)),0)</f>
        <v>0</v>
      </c>
      <c r="K28" s="9">
        <f>IFERROR(INDEX('GB2 Bar'!$F$2:$F$300,MATCH(A28,'GB2 Bar'!$A$2:$A$300,0)),0)</f>
        <v>0</v>
      </c>
      <c r="L28" s="9">
        <f>IFERROR(INDEX('CB1 Bar'!$F$2:$F$300,MATCH(A28,'CB1 Bar'!$A$2:$A$300,0)),0)</f>
        <v>0</v>
      </c>
      <c r="M28" s="9">
        <f>IFERROR(INDEX('CB2 Bar'!$F$2:$F$300,MATCH(A28,'CB2 Bar'!$A$2:$A$300,0)),0)</f>
        <v>0</v>
      </c>
      <c r="N28" s="9">
        <f>IFERROR(INDEX('CB3 Bar'!$F$2:$F$300,MATCH(A28,'CB3 Bar'!$A$2:$A$300,0)),0)</f>
        <v>0</v>
      </c>
      <c r="O28" s="9">
        <f>IFERROR(INDEX('Spirits Room'!$F$2:$F$300,MATCH(A28,'Spirits Room'!$A$2:$A$300,0)),0)</f>
        <v>0</v>
      </c>
      <c r="P28" s="9">
        <f>IFERROR(INDEX('White Wine Fridge'!$F$2:$F$300,MATCH(A28,'White Wine Fridge'!$A$2:$A$300,0)),0)</f>
        <v>0</v>
      </c>
      <c r="Q28" s="9">
        <f>IFERROR(INDEX('Lower Keg'!$F$2:$F$300,MATCH(A28,'Lower Keg'!$A$2:$A$300,0)),0)</f>
        <v>0</v>
      </c>
      <c r="R28" s="9">
        <f>IFERROR(INDEX('Botanical Storeroom'!$F$2:$F$300,MATCH(A28,'Botanical Storeroom'!$A$2:$A$300,0)),0)</f>
        <v>0</v>
      </c>
      <c r="S28" s="9">
        <f>IFERROR(INDEX('Botanical Bar'!$F$2:$F$300,MATCH(A28,'Botanical Bar'!$A$2:$A$300,0)),0)</f>
        <v>0</v>
      </c>
      <c r="T28" s="9">
        <f>IFERROR(INDEX('Loading Dock Fridge'!$F$2:$F$300,MATCH(A28,'Loading Dock Fridge'!$A$2:$A$300,0)),0)</f>
        <v>0</v>
      </c>
      <c r="U28" s="9">
        <f>IFERROR(INDEX('Postmix Loading Dock'!$F$2:$F$300,MATCH(A28,'Postmix Loading Dock'!$A$2:$A$300,0)),0)</f>
        <v>0</v>
      </c>
      <c r="V28" s="9">
        <f>IFERROR(INDEX('Postmix Lower Keg'!$F$2:$F$300,MATCH(A28,'Postmix Lower Keg'!$A$2:$A$300,0)),0)</f>
        <v>0</v>
      </c>
      <c r="W28" s="10">
        <f>IFERROR(INDEX('Postmix TWR'!$F$2:$F$300,MATCH(A28,'Postmix TWR'!$A$2:$A$300,0)),0)</f>
        <v>0</v>
      </c>
    </row>
    <row r="29" spans="1:23" x14ac:dyDescent="0.35">
      <c r="A29" s="8">
        <v>22717</v>
      </c>
      <c r="B29" s="9" t="s">
        <v>53</v>
      </c>
      <c r="C29" s="9" t="s">
        <v>54</v>
      </c>
      <c r="D29" s="9" t="s">
        <v>60</v>
      </c>
      <c r="E29" s="17">
        <v>24</v>
      </c>
      <c r="F29" s="23">
        <f t="shared" si="0"/>
        <v>0</v>
      </c>
      <c r="G29" s="9">
        <f>IFERROR(INDEX('Juice Fridge'!$F$2:$F$300,MATCH(A29,'Juice Fridge'!$A$2:$A$300,0)),0)</f>
        <v>0</v>
      </c>
      <c r="H29" s="9">
        <f>IFERROR(INDEX('Upper Keg'!$F$2:$F$300,MATCH(A29,'Upper Keg'!$A$2:$A$300,0)),0)</f>
        <v>0</v>
      </c>
      <c r="I29" s="9">
        <f>IFERROR(INDEX('Astral Bar'!$F$2:$F$300,MATCH(A29,'Astral Bar'!$A$2:$A$300,0)),0)</f>
        <v>0</v>
      </c>
      <c r="J29" s="9">
        <f>IFERROR(INDEX('GB1 Bar'!$F$2:$F$300,MATCH(A29,'GB1 Bar'!$A$2:$A$300,0)),0)</f>
        <v>0</v>
      </c>
      <c r="K29" s="9">
        <f>IFERROR(INDEX('GB2 Bar'!$F$2:$F$300,MATCH(A29,'GB2 Bar'!$A$2:$A$300,0)),0)</f>
        <v>0</v>
      </c>
      <c r="L29" s="9">
        <f>IFERROR(INDEX('CB1 Bar'!$F$2:$F$300,MATCH(A29,'CB1 Bar'!$A$2:$A$300,0)),0)</f>
        <v>0</v>
      </c>
      <c r="M29" s="9">
        <f>IFERROR(INDEX('CB2 Bar'!$F$2:$F$300,MATCH(A29,'CB2 Bar'!$A$2:$A$300,0)),0)</f>
        <v>0</v>
      </c>
      <c r="N29" s="9">
        <f>IFERROR(INDEX('CB3 Bar'!$F$2:$F$300,MATCH(A29,'CB3 Bar'!$A$2:$A$300,0)),0)</f>
        <v>0</v>
      </c>
      <c r="O29" s="9">
        <f>IFERROR(INDEX('Spirits Room'!$F$2:$F$300,MATCH(A29,'Spirits Room'!$A$2:$A$300,0)),0)</f>
        <v>0</v>
      </c>
      <c r="P29" s="9">
        <f>IFERROR(INDEX('White Wine Fridge'!$F$2:$F$300,MATCH(A29,'White Wine Fridge'!$A$2:$A$300,0)),0)</f>
        <v>0</v>
      </c>
      <c r="Q29" s="9">
        <f>IFERROR(INDEX('Lower Keg'!$F$2:$F$300,MATCH(A29,'Lower Keg'!$A$2:$A$300,0)),0)</f>
        <v>0</v>
      </c>
      <c r="R29" s="9">
        <f>IFERROR(INDEX('Botanical Storeroom'!$F$2:$F$300,MATCH(A29,'Botanical Storeroom'!$A$2:$A$300,0)),0)</f>
        <v>0</v>
      </c>
      <c r="S29" s="9">
        <f>IFERROR(INDEX('Botanical Bar'!$F$2:$F$300,MATCH(A29,'Botanical Bar'!$A$2:$A$300,0)),0)</f>
        <v>0</v>
      </c>
      <c r="T29" s="9">
        <f>IFERROR(INDEX('Loading Dock Fridge'!$F$2:$F$300,MATCH(A29,'Loading Dock Fridge'!$A$2:$A$300,0)),0)</f>
        <v>0</v>
      </c>
      <c r="U29" s="9">
        <f>IFERROR(INDEX('Postmix Loading Dock'!$F$2:$F$300,MATCH(A29,'Postmix Loading Dock'!$A$2:$A$300,0)),0)</f>
        <v>0</v>
      </c>
      <c r="V29" s="9">
        <f>IFERROR(INDEX('Postmix Lower Keg'!$F$2:$F$300,MATCH(A29,'Postmix Lower Keg'!$A$2:$A$300,0)),0)</f>
        <v>0</v>
      </c>
      <c r="W29" s="10">
        <f>IFERROR(INDEX('Postmix TWR'!$F$2:$F$300,MATCH(A29,'Postmix TWR'!$A$2:$A$300,0)),0)</f>
        <v>0</v>
      </c>
    </row>
    <row r="30" spans="1:23" x14ac:dyDescent="0.35">
      <c r="A30" s="8">
        <v>67826</v>
      </c>
      <c r="B30" s="9" t="s">
        <v>61</v>
      </c>
      <c r="C30" s="9" t="s">
        <v>54</v>
      </c>
      <c r="D30" s="9" t="s">
        <v>62</v>
      </c>
      <c r="E30" s="17">
        <v>24</v>
      </c>
      <c r="F30" s="23">
        <f t="shared" si="0"/>
        <v>0</v>
      </c>
      <c r="G30" s="9">
        <f>IFERROR(INDEX('Juice Fridge'!$F$2:$F$300,MATCH(A30,'Juice Fridge'!$A$2:$A$300,0)),0)</f>
        <v>0</v>
      </c>
      <c r="H30" s="9">
        <f>IFERROR(INDEX('Upper Keg'!$F$2:$F$300,MATCH(A30,'Upper Keg'!$A$2:$A$300,0)),0)</f>
        <v>0</v>
      </c>
      <c r="I30" s="9">
        <f>IFERROR(INDEX('Astral Bar'!$F$2:$F$300,MATCH(A30,'Astral Bar'!$A$2:$A$300,0)),0)</f>
        <v>0</v>
      </c>
      <c r="J30" s="9">
        <f>IFERROR(INDEX('GB1 Bar'!$F$2:$F$300,MATCH(A30,'GB1 Bar'!$A$2:$A$300,0)),0)</f>
        <v>0</v>
      </c>
      <c r="K30" s="9">
        <f>IFERROR(INDEX('GB2 Bar'!$F$2:$F$300,MATCH(A30,'GB2 Bar'!$A$2:$A$300,0)),0)</f>
        <v>0</v>
      </c>
      <c r="L30" s="9">
        <f>IFERROR(INDEX('CB1 Bar'!$F$2:$F$300,MATCH(A30,'CB1 Bar'!$A$2:$A$300,0)),0)</f>
        <v>0</v>
      </c>
      <c r="M30" s="9">
        <f>IFERROR(INDEX('CB2 Bar'!$F$2:$F$300,MATCH(A30,'CB2 Bar'!$A$2:$A$300,0)),0)</f>
        <v>0</v>
      </c>
      <c r="N30" s="9">
        <f>IFERROR(INDEX('CB3 Bar'!$F$2:$F$300,MATCH(A30,'CB3 Bar'!$A$2:$A$300,0)),0)</f>
        <v>0</v>
      </c>
      <c r="O30" s="9">
        <f>IFERROR(INDEX('Spirits Room'!$F$2:$F$300,MATCH(A30,'Spirits Room'!$A$2:$A$300,0)),0)</f>
        <v>0</v>
      </c>
      <c r="P30" s="9">
        <f>IFERROR(INDEX('White Wine Fridge'!$F$2:$F$300,MATCH(A30,'White Wine Fridge'!$A$2:$A$300,0)),0)</f>
        <v>0</v>
      </c>
      <c r="Q30" s="9">
        <f>IFERROR(INDEX('Lower Keg'!$F$2:$F$300,MATCH(A30,'Lower Keg'!$A$2:$A$300,0)),0)</f>
        <v>0</v>
      </c>
      <c r="R30" s="9">
        <f>IFERROR(INDEX('Botanical Storeroom'!$F$2:$F$300,MATCH(A30,'Botanical Storeroom'!$A$2:$A$300,0)),0)</f>
        <v>0</v>
      </c>
      <c r="S30" s="9">
        <f>IFERROR(INDEX('Botanical Bar'!$F$2:$F$300,MATCH(A30,'Botanical Bar'!$A$2:$A$300,0)),0)</f>
        <v>0</v>
      </c>
      <c r="T30" s="9">
        <f>IFERROR(INDEX('Loading Dock Fridge'!$F$2:$F$300,MATCH(A30,'Loading Dock Fridge'!$A$2:$A$300,0)),0)</f>
        <v>0</v>
      </c>
      <c r="U30" s="9">
        <f>IFERROR(INDEX('Postmix Loading Dock'!$F$2:$F$300,MATCH(A30,'Postmix Loading Dock'!$A$2:$A$300,0)),0)</f>
        <v>0</v>
      </c>
      <c r="V30" s="9">
        <f>IFERROR(INDEX('Postmix Lower Keg'!$F$2:$F$300,MATCH(A30,'Postmix Lower Keg'!$A$2:$A$300,0)),0)</f>
        <v>0</v>
      </c>
      <c r="W30" s="10">
        <f>IFERROR(INDEX('Postmix TWR'!$F$2:$F$300,MATCH(A30,'Postmix TWR'!$A$2:$A$300,0)),0)</f>
        <v>0</v>
      </c>
    </row>
    <row r="31" spans="1:23" x14ac:dyDescent="0.35">
      <c r="A31" s="8">
        <v>21852</v>
      </c>
      <c r="B31" s="9" t="s">
        <v>61</v>
      </c>
      <c r="C31" s="9" t="s">
        <v>54</v>
      </c>
      <c r="D31" s="9" t="s">
        <v>63</v>
      </c>
      <c r="E31" s="17">
        <v>6</v>
      </c>
      <c r="F31" s="23">
        <f t="shared" si="0"/>
        <v>0</v>
      </c>
      <c r="G31" s="9">
        <f>IFERROR(INDEX('Juice Fridge'!$F$2:$F$300,MATCH(A31,'Juice Fridge'!$A$2:$A$300,0)),0)</f>
        <v>0</v>
      </c>
      <c r="H31" s="9">
        <f>IFERROR(INDEX('Upper Keg'!$F$2:$F$300,MATCH(A31,'Upper Keg'!$A$2:$A$300,0)),0)</f>
        <v>0</v>
      </c>
      <c r="I31" s="9">
        <f>IFERROR(INDEX('Astral Bar'!$F$2:$F$300,MATCH(A31,'Astral Bar'!$A$2:$A$300,0)),0)</f>
        <v>0</v>
      </c>
      <c r="J31" s="9">
        <f>IFERROR(INDEX('GB1 Bar'!$F$2:$F$300,MATCH(A31,'GB1 Bar'!$A$2:$A$300,0)),0)</f>
        <v>0</v>
      </c>
      <c r="K31" s="9">
        <f>IFERROR(INDEX('GB2 Bar'!$F$2:$F$300,MATCH(A31,'GB2 Bar'!$A$2:$A$300,0)),0)</f>
        <v>0</v>
      </c>
      <c r="L31" s="9">
        <f>IFERROR(INDEX('CB1 Bar'!$F$2:$F$300,MATCH(A31,'CB1 Bar'!$A$2:$A$300,0)),0)</f>
        <v>0</v>
      </c>
      <c r="M31" s="9">
        <f>IFERROR(INDEX('CB2 Bar'!$F$2:$F$300,MATCH(A31,'CB2 Bar'!$A$2:$A$300,0)),0)</f>
        <v>0</v>
      </c>
      <c r="N31" s="9">
        <f>IFERROR(INDEX('CB3 Bar'!$F$2:$F$300,MATCH(A31,'CB3 Bar'!$A$2:$A$300,0)),0)</f>
        <v>0</v>
      </c>
      <c r="O31" s="9">
        <f>IFERROR(INDEX('Spirits Room'!$F$2:$F$300,MATCH(A31,'Spirits Room'!$A$2:$A$300,0)),0)</f>
        <v>0</v>
      </c>
      <c r="P31" s="9">
        <f>IFERROR(INDEX('White Wine Fridge'!$F$2:$F$300,MATCH(A31,'White Wine Fridge'!$A$2:$A$300,0)),0)</f>
        <v>0</v>
      </c>
      <c r="Q31" s="9">
        <f>IFERROR(INDEX('Lower Keg'!$F$2:$F$300,MATCH(A31,'Lower Keg'!$A$2:$A$300,0)),0)</f>
        <v>0</v>
      </c>
      <c r="R31" s="9">
        <f>IFERROR(INDEX('Botanical Storeroom'!$F$2:$F$300,MATCH(A31,'Botanical Storeroom'!$A$2:$A$300,0)),0)</f>
        <v>0</v>
      </c>
      <c r="S31" s="9">
        <f>IFERROR(INDEX('Botanical Bar'!$F$2:$F$300,MATCH(A31,'Botanical Bar'!$A$2:$A$300,0)),0)</f>
        <v>0</v>
      </c>
      <c r="T31" s="9">
        <f>IFERROR(INDEX('Loading Dock Fridge'!$F$2:$F$300,MATCH(A31,'Loading Dock Fridge'!$A$2:$A$300,0)),0)</f>
        <v>0</v>
      </c>
      <c r="U31" s="9">
        <f>IFERROR(INDEX('Postmix Loading Dock'!$F$2:$F$300,MATCH(A31,'Postmix Loading Dock'!$A$2:$A$300,0)),0)</f>
        <v>0</v>
      </c>
      <c r="V31" s="9">
        <f>IFERROR(INDEX('Postmix Lower Keg'!$F$2:$F$300,MATCH(A31,'Postmix Lower Keg'!$A$2:$A$300,0)),0)</f>
        <v>0</v>
      </c>
      <c r="W31" s="10">
        <f>IFERROR(INDEX('Postmix TWR'!$F$2:$F$300,MATCH(A31,'Postmix TWR'!$A$2:$A$300,0)),0)</f>
        <v>0</v>
      </c>
    </row>
    <row r="32" spans="1:23" x14ac:dyDescent="0.35">
      <c r="A32" s="8">
        <v>15980</v>
      </c>
      <c r="B32" s="9" t="s">
        <v>61</v>
      </c>
      <c r="C32" s="9" t="s">
        <v>54</v>
      </c>
      <c r="D32" s="9" t="s">
        <v>64</v>
      </c>
      <c r="E32" s="17">
        <v>6</v>
      </c>
      <c r="F32" s="23">
        <f t="shared" si="0"/>
        <v>0</v>
      </c>
      <c r="G32" s="9">
        <f>IFERROR(INDEX('Juice Fridge'!$F$2:$F$300,MATCH(A32,'Juice Fridge'!$A$2:$A$300,0)),0)</f>
        <v>0</v>
      </c>
      <c r="H32" s="9">
        <f>IFERROR(INDEX('Upper Keg'!$F$2:$F$300,MATCH(A32,'Upper Keg'!$A$2:$A$300,0)),0)</f>
        <v>0</v>
      </c>
      <c r="I32" s="9">
        <f>IFERROR(INDEX('Astral Bar'!$F$2:$F$300,MATCH(A32,'Astral Bar'!$A$2:$A$300,0)),0)</f>
        <v>0</v>
      </c>
      <c r="J32" s="9">
        <f>IFERROR(INDEX('GB1 Bar'!$F$2:$F$300,MATCH(A32,'GB1 Bar'!$A$2:$A$300,0)),0)</f>
        <v>0</v>
      </c>
      <c r="K32" s="9">
        <f>IFERROR(INDEX('GB2 Bar'!$F$2:$F$300,MATCH(A32,'GB2 Bar'!$A$2:$A$300,0)),0)</f>
        <v>0</v>
      </c>
      <c r="L32" s="9">
        <f>IFERROR(INDEX('CB1 Bar'!$F$2:$F$300,MATCH(A32,'CB1 Bar'!$A$2:$A$300,0)),0)</f>
        <v>0</v>
      </c>
      <c r="M32" s="9">
        <f>IFERROR(INDEX('CB2 Bar'!$F$2:$F$300,MATCH(A32,'CB2 Bar'!$A$2:$A$300,0)),0)</f>
        <v>0</v>
      </c>
      <c r="N32" s="9">
        <f>IFERROR(INDEX('CB3 Bar'!$F$2:$F$300,MATCH(A32,'CB3 Bar'!$A$2:$A$300,0)),0)</f>
        <v>0</v>
      </c>
      <c r="O32" s="9">
        <f>IFERROR(INDEX('Spirits Room'!$F$2:$F$300,MATCH(A32,'Spirits Room'!$A$2:$A$300,0)),0)</f>
        <v>0</v>
      </c>
      <c r="P32" s="9">
        <f>IFERROR(INDEX('White Wine Fridge'!$F$2:$F$300,MATCH(A32,'White Wine Fridge'!$A$2:$A$300,0)),0)</f>
        <v>0</v>
      </c>
      <c r="Q32" s="9">
        <f>IFERROR(INDEX('Lower Keg'!$F$2:$F$300,MATCH(A32,'Lower Keg'!$A$2:$A$300,0)),0)</f>
        <v>0</v>
      </c>
      <c r="R32" s="9">
        <f>IFERROR(INDEX('Botanical Storeroom'!$F$2:$F$300,MATCH(A32,'Botanical Storeroom'!$A$2:$A$300,0)),0)</f>
        <v>0</v>
      </c>
      <c r="S32" s="9">
        <f>IFERROR(INDEX('Botanical Bar'!$F$2:$F$300,MATCH(A32,'Botanical Bar'!$A$2:$A$300,0)),0)</f>
        <v>0</v>
      </c>
      <c r="T32" s="9">
        <f>IFERROR(INDEX('Loading Dock Fridge'!$F$2:$F$300,MATCH(A32,'Loading Dock Fridge'!$A$2:$A$300,0)),0)</f>
        <v>0</v>
      </c>
      <c r="U32" s="9">
        <f>IFERROR(INDEX('Postmix Loading Dock'!$F$2:$F$300,MATCH(A32,'Postmix Loading Dock'!$A$2:$A$300,0)),0)</f>
        <v>0</v>
      </c>
      <c r="V32" s="9">
        <f>IFERROR(INDEX('Postmix Lower Keg'!$F$2:$F$300,MATCH(A32,'Postmix Lower Keg'!$A$2:$A$300,0)),0)</f>
        <v>0</v>
      </c>
      <c r="W32" s="10">
        <f>IFERROR(INDEX('Postmix TWR'!$F$2:$F$300,MATCH(A32,'Postmix TWR'!$A$2:$A$300,0)),0)</f>
        <v>0</v>
      </c>
    </row>
    <row r="33" spans="1:23" x14ac:dyDescent="0.35">
      <c r="A33" s="8">
        <v>14685</v>
      </c>
      <c r="B33" s="9" t="s">
        <v>61</v>
      </c>
      <c r="C33" s="9" t="s">
        <v>54</v>
      </c>
      <c r="D33" s="9" t="s">
        <v>65</v>
      </c>
      <c r="E33" s="17">
        <v>6</v>
      </c>
      <c r="F33" s="23">
        <f t="shared" si="0"/>
        <v>0</v>
      </c>
      <c r="G33" s="9">
        <f>IFERROR(INDEX('Juice Fridge'!$F$2:$F$300,MATCH(A33,'Juice Fridge'!$A$2:$A$300,0)),0)</f>
        <v>0</v>
      </c>
      <c r="H33" s="9">
        <f>IFERROR(INDEX('Upper Keg'!$F$2:$F$300,MATCH(A33,'Upper Keg'!$A$2:$A$300,0)),0)</f>
        <v>0</v>
      </c>
      <c r="I33" s="9">
        <f>IFERROR(INDEX('Astral Bar'!$F$2:$F$300,MATCH(A33,'Astral Bar'!$A$2:$A$300,0)),0)</f>
        <v>0</v>
      </c>
      <c r="J33" s="9">
        <f>IFERROR(INDEX('GB1 Bar'!$F$2:$F$300,MATCH(A33,'GB1 Bar'!$A$2:$A$300,0)),0)</f>
        <v>0</v>
      </c>
      <c r="K33" s="9">
        <f>IFERROR(INDEX('GB2 Bar'!$F$2:$F$300,MATCH(A33,'GB2 Bar'!$A$2:$A$300,0)),0)</f>
        <v>0</v>
      </c>
      <c r="L33" s="9">
        <f>IFERROR(INDEX('CB1 Bar'!$F$2:$F$300,MATCH(A33,'CB1 Bar'!$A$2:$A$300,0)),0)</f>
        <v>0</v>
      </c>
      <c r="M33" s="9">
        <f>IFERROR(INDEX('CB2 Bar'!$F$2:$F$300,MATCH(A33,'CB2 Bar'!$A$2:$A$300,0)),0)</f>
        <v>0</v>
      </c>
      <c r="N33" s="9">
        <f>IFERROR(INDEX('CB3 Bar'!$F$2:$F$300,MATCH(A33,'CB3 Bar'!$A$2:$A$300,0)),0)</f>
        <v>0</v>
      </c>
      <c r="O33" s="9">
        <f>IFERROR(INDEX('Spirits Room'!$F$2:$F$300,MATCH(A33,'Spirits Room'!$A$2:$A$300,0)),0)</f>
        <v>0</v>
      </c>
      <c r="P33" s="9">
        <f>IFERROR(INDEX('White Wine Fridge'!$F$2:$F$300,MATCH(A33,'White Wine Fridge'!$A$2:$A$300,0)),0)</f>
        <v>0</v>
      </c>
      <c r="Q33" s="9">
        <f>IFERROR(INDEX('Lower Keg'!$F$2:$F$300,MATCH(A33,'Lower Keg'!$A$2:$A$300,0)),0)</f>
        <v>0</v>
      </c>
      <c r="R33" s="9">
        <f>IFERROR(INDEX('Botanical Storeroom'!$F$2:$F$300,MATCH(A33,'Botanical Storeroom'!$A$2:$A$300,0)),0)</f>
        <v>0</v>
      </c>
      <c r="S33" s="9">
        <f>IFERROR(INDEX('Botanical Bar'!$F$2:$F$300,MATCH(A33,'Botanical Bar'!$A$2:$A$300,0)),0)</f>
        <v>0</v>
      </c>
      <c r="T33" s="9">
        <f>IFERROR(INDEX('Loading Dock Fridge'!$F$2:$F$300,MATCH(A33,'Loading Dock Fridge'!$A$2:$A$300,0)),0)</f>
        <v>0</v>
      </c>
      <c r="U33" s="9">
        <f>IFERROR(INDEX('Postmix Loading Dock'!$F$2:$F$300,MATCH(A33,'Postmix Loading Dock'!$A$2:$A$300,0)),0)</f>
        <v>0</v>
      </c>
      <c r="V33" s="9">
        <f>IFERROR(INDEX('Postmix Lower Keg'!$F$2:$F$300,MATCH(A33,'Postmix Lower Keg'!$A$2:$A$300,0)),0)</f>
        <v>0</v>
      </c>
      <c r="W33" s="10">
        <f>IFERROR(INDEX('Postmix TWR'!$F$2:$F$300,MATCH(A33,'Postmix TWR'!$A$2:$A$300,0)),0)</f>
        <v>0</v>
      </c>
    </row>
    <row r="34" spans="1:23" x14ac:dyDescent="0.35">
      <c r="A34" s="8">
        <v>21853</v>
      </c>
      <c r="B34" s="9" t="s">
        <v>61</v>
      </c>
      <c r="C34" s="9" t="s">
        <v>54</v>
      </c>
      <c r="D34" s="9" t="s">
        <v>66</v>
      </c>
      <c r="E34" s="17">
        <v>4</v>
      </c>
      <c r="F34" s="23">
        <f t="shared" ref="F34:F65" si="1">G34+H34+I34+J34+K34+L34+M34+N34+O34+P34+Q34+R34+S34+T34+U34+V34+W34</f>
        <v>0</v>
      </c>
      <c r="G34" s="9">
        <f>IFERROR(INDEX('Juice Fridge'!$F$2:$F$300,MATCH(A34,'Juice Fridge'!$A$2:$A$300,0)),0)</f>
        <v>0</v>
      </c>
      <c r="H34" s="9">
        <f>IFERROR(INDEX('Upper Keg'!$F$2:$F$300,MATCH(A34,'Upper Keg'!$A$2:$A$300,0)),0)</f>
        <v>0</v>
      </c>
      <c r="I34" s="9">
        <f>IFERROR(INDEX('Astral Bar'!$F$2:$F$300,MATCH(A34,'Astral Bar'!$A$2:$A$300,0)),0)</f>
        <v>0</v>
      </c>
      <c r="J34" s="9">
        <f>IFERROR(INDEX('GB1 Bar'!$F$2:$F$300,MATCH(A34,'GB1 Bar'!$A$2:$A$300,0)),0)</f>
        <v>0</v>
      </c>
      <c r="K34" s="9">
        <f>IFERROR(INDEX('GB2 Bar'!$F$2:$F$300,MATCH(A34,'GB2 Bar'!$A$2:$A$300,0)),0)</f>
        <v>0</v>
      </c>
      <c r="L34" s="9">
        <f>IFERROR(INDEX('CB1 Bar'!$F$2:$F$300,MATCH(A34,'CB1 Bar'!$A$2:$A$300,0)),0)</f>
        <v>0</v>
      </c>
      <c r="M34" s="9">
        <f>IFERROR(INDEX('CB2 Bar'!$F$2:$F$300,MATCH(A34,'CB2 Bar'!$A$2:$A$300,0)),0)</f>
        <v>0</v>
      </c>
      <c r="N34" s="9">
        <f>IFERROR(INDEX('CB3 Bar'!$F$2:$F$300,MATCH(A34,'CB3 Bar'!$A$2:$A$300,0)),0)</f>
        <v>0</v>
      </c>
      <c r="O34" s="9">
        <f>IFERROR(INDEX('Spirits Room'!$F$2:$F$300,MATCH(A34,'Spirits Room'!$A$2:$A$300,0)),0)</f>
        <v>0</v>
      </c>
      <c r="P34" s="9">
        <f>IFERROR(INDEX('White Wine Fridge'!$F$2:$F$300,MATCH(A34,'White Wine Fridge'!$A$2:$A$300,0)),0)</f>
        <v>0</v>
      </c>
      <c r="Q34" s="9">
        <f>IFERROR(INDEX('Lower Keg'!$F$2:$F$300,MATCH(A34,'Lower Keg'!$A$2:$A$300,0)),0)</f>
        <v>0</v>
      </c>
      <c r="R34" s="9">
        <f>IFERROR(INDEX('Botanical Storeroom'!$F$2:$F$300,MATCH(A34,'Botanical Storeroom'!$A$2:$A$300,0)),0)</f>
        <v>0</v>
      </c>
      <c r="S34" s="9">
        <f>IFERROR(INDEX('Botanical Bar'!$F$2:$F$300,MATCH(A34,'Botanical Bar'!$A$2:$A$300,0)),0)</f>
        <v>0</v>
      </c>
      <c r="T34" s="9">
        <f>IFERROR(INDEX('Loading Dock Fridge'!$F$2:$F$300,MATCH(A34,'Loading Dock Fridge'!$A$2:$A$300,0)),0)</f>
        <v>0</v>
      </c>
      <c r="U34" s="9">
        <f>IFERROR(INDEX('Postmix Loading Dock'!$F$2:$F$300,MATCH(A34,'Postmix Loading Dock'!$A$2:$A$300,0)),0)</f>
        <v>0</v>
      </c>
      <c r="V34" s="9">
        <f>IFERROR(INDEX('Postmix Lower Keg'!$F$2:$F$300,MATCH(A34,'Postmix Lower Keg'!$A$2:$A$300,0)),0)</f>
        <v>0</v>
      </c>
      <c r="W34" s="10">
        <f>IFERROR(INDEX('Postmix TWR'!$F$2:$F$300,MATCH(A34,'Postmix TWR'!$A$2:$A$300,0)),0)</f>
        <v>0</v>
      </c>
    </row>
    <row r="35" spans="1:23" x14ac:dyDescent="0.35">
      <c r="A35" s="8">
        <v>67827</v>
      </c>
      <c r="B35" s="9" t="s">
        <v>61</v>
      </c>
      <c r="C35" s="9" t="s">
        <v>54</v>
      </c>
      <c r="D35" s="9" t="s">
        <v>67</v>
      </c>
      <c r="E35" s="17">
        <v>24</v>
      </c>
      <c r="F35" s="23">
        <f t="shared" si="1"/>
        <v>0</v>
      </c>
      <c r="G35" s="9">
        <f>IFERROR(INDEX('Juice Fridge'!$F$2:$F$300,MATCH(A35,'Juice Fridge'!$A$2:$A$300,0)),0)</f>
        <v>0</v>
      </c>
      <c r="H35" s="9">
        <f>IFERROR(INDEX('Upper Keg'!$F$2:$F$300,MATCH(A35,'Upper Keg'!$A$2:$A$300,0)),0)</f>
        <v>0</v>
      </c>
      <c r="I35" s="9">
        <f>IFERROR(INDEX('Astral Bar'!$F$2:$F$300,MATCH(A35,'Astral Bar'!$A$2:$A$300,0)),0)</f>
        <v>0</v>
      </c>
      <c r="J35" s="9">
        <f>IFERROR(INDEX('GB1 Bar'!$F$2:$F$300,MATCH(A35,'GB1 Bar'!$A$2:$A$300,0)),0)</f>
        <v>0</v>
      </c>
      <c r="K35" s="9">
        <f>IFERROR(INDEX('GB2 Bar'!$F$2:$F$300,MATCH(A35,'GB2 Bar'!$A$2:$A$300,0)),0)</f>
        <v>0</v>
      </c>
      <c r="L35" s="9">
        <f>IFERROR(INDEX('CB1 Bar'!$F$2:$F$300,MATCH(A35,'CB1 Bar'!$A$2:$A$300,0)),0)</f>
        <v>0</v>
      </c>
      <c r="M35" s="9">
        <f>IFERROR(INDEX('CB2 Bar'!$F$2:$F$300,MATCH(A35,'CB2 Bar'!$A$2:$A$300,0)),0)</f>
        <v>0</v>
      </c>
      <c r="N35" s="9">
        <f>IFERROR(INDEX('CB3 Bar'!$F$2:$F$300,MATCH(A35,'CB3 Bar'!$A$2:$A$300,0)),0)</f>
        <v>0</v>
      </c>
      <c r="O35" s="9">
        <f>IFERROR(INDEX('Spirits Room'!$F$2:$F$300,MATCH(A35,'Spirits Room'!$A$2:$A$300,0)),0)</f>
        <v>0</v>
      </c>
      <c r="P35" s="9">
        <f>IFERROR(INDEX('White Wine Fridge'!$F$2:$F$300,MATCH(A35,'White Wine Fridge'!$A$2:$A$300,0)),0)</f>
        <v>0</v>
      </c>
      <c r="Q35" s="9">
        <f>IFERROR(INDEX('Lower Keg'!$F$2:$F$300,MATCH(A35,'Lower Keg'!$A$2:$A$300,0)),0)</f>
        <v>0</v>
      </c>
      <c r="R35" s="9">
        <f>IFERROR(INDEX('Botanical Storeroom'!$F$2:$F$300,MATCH(A35,'Botanical Storeroom'!$A$2:$A$300,0)),0)</f>
        <v>0</v>
      </c>
      <c r="S35" s="9">
        <f>IFERROR(INDEX('Botanical Bar'!$F$2:$F$300,MATCH(A35,'Botanical Bar'!$A$2:$A$300,0)),0)</f>
        <v>0</v>
      </c>
      <c r="T35" s="9">
        <f>IFERROR(INDEX('Loading Dock Fridge'!$F$2:$F$300,MATCH(A35,'Loading Dock Fridge'!$A$2:$A$300,0)),0)</f>
        <v>0</v>
      </c>
      <c r="U35" s="9">
        <f>IFERROR(INDEX('Postmix Loading Dock'!$F$2:$F$300,MATCH(A35,'Postmix Loading Dock'!$A$2:$A$300,0)),0)</f>
        <v>0</v>
      </c>
      <c r="V35" s="9">
        <f>IFERROR(INDEX('Postmix Lower Keg'!$F$2:$F$300,MATCH(A35,'Postmix Lower Keg'!$A$2:$A$300,0)),0)</f>
        <v>0</v>
      </c>
      <c r="W35" s="10">
        <f>IFERROR(INDEX('Postmix TWR'!$F$2:$F$300,MATCH(A35,'Postmix TWR'!$A$2:$A$300,0)),0)</f>
        <v>0</v>
      </c>
    </row>
    <row r="36" spans="1:23" x14ac:dyDescent="0.35">
      <c r="A36" s="8">
        <v>65135</v>
      </c>
      <c r="B36" s="9" t="s">
        <v>61</v>
      </c>
      <c r="C36" s="9" t="s">
        <v>54</v>
      </c>
      <c r="D36" s="9" t="s">
        <v>68</v>
      </c>
      <c r="E36" s="17">
        <v>6</v>
      </c>
      <c r="F36" s="23">
        <f t="shared" si="1"/>
        <v>0</v>
      </c>
      <c r="G36" s="9">
        <f>IFERROR(INDEX('Juice Fridge'!$F$2:$F$300,MATCH(A36,'Juice Fridge'!$A$2:$A$300,0)),0)</f>
        <v>0</v>
      </c>
      <c r="H36" s="9">
        <f>IFERROR(INDEX('Upper Keg'!$F$2:$F$300,MATCH(A36,'Upper Keg'!$A$2:$A$300,0)),0)</f>
        <v>0</v>
      </c>
      <c r="I36" s="9">
        <f>IFERROR(INDEX('Astral Bar'!$F$2:$F$300,MATCH(A36,'Astral Bar'!$A$2:$A$300,0)),0)</f>
        <v>0</v>
      </c>
      <c r="J36" s="9">
        <f>IFERROR(INDEX('GB1 Bar'!$F$2:$F$300,MATCH(A36,'GB1 Bar'!$A$2:$A$300,0)),0)</f>
        <v>0</v>
      </c>
      <c r="K36" s="9">
        <f>IFERROR(INDEX('GB2 Bar'!$F$2:$F$300,MATCH(A36,'GB2 Bar'!$A$2:$A$300,0)),0)</f>
        <v>0</v>
      </c>
      <c r="L36" s="9">
        <f>IFERROR(INDEX('CB1 Bar'!$F$2:$F$300,MATCH(A36,'CB1 Bar'!$A$2:$A$300,0)),0)</f>
        <v>0</v>
      </c>
      <c r="M36" s="9">
        <f>IFERROR(INDEX('CB2 Bar'!$F$2:$F$300,MATCH(A36,'CB2 Bar'!$A$2:$A$300,0)),0)</f>
        <v>0</v>
      </c>
      <c r="N36" s="9">
        <f>IFERROR(INDEX('CB3 Bar'!$F$2:$F$300,MATCH(A36,'CB3 Bar'!$A$2:$A$300,0)),0)</f>
        <v>0</v>
      </c>
      <c r="O36" s="9">
        <f>IFERROR(INDEX('Spirits Room'!$F$2:$F$300,MATCH(A36,'Spirits Room'!$A$2:$A$300,0)),0)</f>
        <v>0</v>
      </c>
      <c r="P36" s="9">
        <f>IFERROR(INDEX('White Wine Fridge'!$F$2:$F$300,MATCH(A36,'White Wine Fridge'!$A$2:$A$300,0)),0)</f>
        <v>0</v>
      </c>
      <c r="Q36" s="9">
        <f>IFERROR(INDEX('Lower Keg'!$F$2:$F$300,MATCH(A36,'Lower Keg'!$A$2:$A$300,0)),0)</f>
        <v>0</v>
      </c>
      <c r="R36" s="9">
        <f>IFERROR(INDEX('Botanical Storeroom'!$F$2:$F$300,MATCH(A36,'Botanical Storeroom'!$A$2:$A$300,0)),0)</f>
        <v>0</v>
      </c>
      <c r="S36" s="9">
        <f>IFERROR(INDEX('Botanical Bar'!$F$2:$F$300,MATCH(A36,'Botanical Bar'!$A$2:$A$300,0)),0)</f>
        <v>0</v>
      </c>
      <c r="T36" s="9">
        <f>IFERROR(INDEX('Loading Dock Fridge'!$F$2:$F$300,MATCH(A36,'Loading Dock Fridge'!$A$2:$A$300,0)),0)</f>
        <v>0</v>
      </c>
      <c r="U36" s="9">
        <f>IFERROR(INDEX('Postmix Loading Dock'!$F$2:$F$300,MATCH(A36,'Postmix Loading Dock'!$A$2:$A$300,0)),0)</f>
        <v>0</v>
      </c>
      <c r="V36" s="9">
        <f>IFERROR(INDEX('Postmix Lower Keg'!$F$2:$F$300,MATCH(A36,'Postmix Lower Keg'!$A$2:$A$300,0)),0)</f>
        <v>0</v>
      </c>
      <c r="W36" s="10">
        <f>IFERROR(INDEX('Postmix TWR'!$F$2:$F$300,MATCH(A36,'Postmix TWR'!$A$2:$A$300,0)),0)</f>
        <v>0</v>
      </c>
    </row>
    <row r="37" spans="1:23" x14ac:dyDescent="0.35">
      <c r="A37" s="8">
        <v>66213</v>
      </c>
      <c r="B37" s="9" t="s">
        <v>61</v>
      </c>
      <c r="C37" s="9" t="s">
        <v>54</v>
      </c>
      <c r="D37" s="9" t="s">
        <v>69</v>
      </c>
      <c r="E37" s="17">
        <v>6</v>
      </c>
      <c r="F37" s="23">
        <f t="shared" si="1"/>
        <v>0</v>
      </c>
      <c r="G37" s="9">
        <f>IFERROR(INDEX('Juice Fridge'!$F$2:$F$300,MATCH(A37,'Juice Fridge'!$A$2:$A$300,0)),0)</f>
        <v>0</v>
      </c>
      <c r="H37" s="9">
        <f>IFERROR(INDEX('Upper Keg'!$F$2:$F$300,MATCH(A37,'Upper Keg'!$A$2:$A$300,0)),0)</f>
        <v>0</v>
      </c>
      <c r="I37" s="9">
        <f>IFERROR(INDEX('Astral Bar'!$F$2:$F$300,MATCH(A37,'Astral Bar'!$A$2:$A$300,0)),0)</f>
        <v>0</v>
      </c>
      <c r="J37" s="9">
        <f>IFERROR(INDEX('GB1 Bar'!$F$2:$F$300,MATCH(A37,'GB1 Bar'!$A$2:$A$300,0)),0)</f>
        <v>0</v>
      </c>
      <c r="K37" s="9">
        <f>IFERROR(INDEX('GB2 Bar'!$F$2:$F$300,MATCH(A37,'GB2 Bar'!$A$2:$A$300,0)),0)</f>
        <v>0</v>
      </c>
      <c r="L37" s="9">
        <f>IFERROR(INDEX('CB1 Bar'!$F$2:$F$300,MATCH(A37,'CB1 Bar'!$A$2:$A$300,0)),0)</f>
        <v>0</v>
      </c>
      <c r="M37" s="9">
        <f>IFERROR(INDEX('CB2 Bar'!$F$2:$F$300,MATCH(A37,'CB2 Bar'!$A$2:$A$300,0)),0)</f>
        <v>0</v>
      </c>
      <c r="N37" s="9">
        <f>IFERROR(INDEX('CB3 Bar'!$F$2:$F$300,MATCH(A37,'CB3 Bar'!$A$2:$A$300,0)),0)</f>
        <v>0</v>
      </c>
      <c r="O37" s="9">
        <f>IFERROR(INDEX('Spirits Room'!$F$2:$F$300,MATCH(A37,'Spirits Room'!$A$2:$A$300,0)),0)</f>
        <v>0</v>
      </c>
      <c r="P37" s="9">
        <f>IFERROR(INDEX('White Wine Fridge'!$F$2:$F$300,MATCH(A37,'White Wine Fridge'!$A$2:$A$300,0)),0)</f>
        <v>0</v>
      </c>
      <c r="Q37" s="9">
        <f>IFERROR(INDEX('Lower Keg'!$F$2:$F$300,MATCH(A37,'Lower Keg'!$A$2:$A$300,0)),0)</f>
        <v>0</v>
      </c>
      <c r="R37" s="9">
        <f>IFERROR(INDEX('Botanical Storeroom'!$F$2:$F$300,MATCH(A37,'Botanical Storeroom'!$A$2:$A$300,0)),0)</f>
        <v>0</v>
      </c>
      <c r="S37" s="9">
        <f>IFERROR(INDEX('Botanical Bar'!$F$2:$F$300,MATCH(A37,'Botanical Bar'!$A$2:$A$300,0)),0)</f>
        <v>0</v>
      </c>
      <c r="T37" s="9">
        <f>IFERROR(INDEX('Loading Dock Fridge'!$F$2:$F$300,MATCH(A37,'Loading Dock Fridge'!$A$2:$A$300,0)),0)</f>
        <v>0</v>
      </c>
      <c r="U37" s="9">
        <f>IFERROR(INDEX('Postmix Loading Dock'!$F$2:$F$300,MATCH(A37,'Postmix Loading Dock'!$A$2:$A$300,0)),0)</f>
        <v>0</v>
      </c>
      <c r="V37" s="9">
        <f>IFERROR(INDEX('Postmix Lower Keg'!$F$2:$F$300,MATCH(A37,'Postmix Lower Keg'!$A$2:$A$300,0)),0)</f>
        <v>0</v>
      </c>
      <c r="W37" s="10">
        <f>IFERROR(INDEX('Postmix TWR'!$F$2:$F$300,MATCH(A37,'Postmix TWR'!$A$2:$A$300,0)),0)</f>
        <v>0</v>
      </c>
    </row>
    <row r="38" spans="1:23" x14ac:dyDescent="0.35">
      <c r="A38" s="8">
        <v>61492</v>
      </c>
      <c r="B38" s="9" t="s">
        <v>70</v>
      </c>
      <c r="C38" s="9" t="s">
        <v>54</v>
      </c>
      <c r="D38" s="9" t="s">
        <v>71</v>
      </c>
      <c r="E38" s="17">
        <v>12</v>
      </c>
      <c r="F38" s="23">
        <f t="shared" si="1"/>
        <v>0</v>
      </c>
      <c r="G38" s="9">
        <f>IFERROR(INDEX('Juice Fridge'!$F$2:$F$300,MATCH(A38,'Juice Fridge'!$A$2:$A$300,0)),0)</f>
        <v>0</v>
      </c>
      <c r="H38" s="9">
        <f>IFERROR(INDEX('Upper Keg'!$F$2:$F$300,MATCH(A38,'Upper Keg'!$A$2:$A$300,0)),0)</f>
        <v>0</v>
      </c>
      <c r="I38" s="9">
        <f>IFERROR(INDEX('Astral Bar'!$F$2:$F$300,MATCH(A38,'Astral Bar'!$A$2:$A$300,0)),0)</f>
        <v>0</v>
      </c>
      <c r="J38" s="9">
        <f>IFERROR(INDEX('GB1 Bar'!$F$2:$F$300,MATCH(A38,'GB1 Bar'!$A$2:$A$300,0)),0)</f>
        <v>0</v>
      </c>
      <c r="K38" s="9">
        <f>IFERROR(INDEX('GB2 Bar'!$F$2:$F$300,MATCH(A38,'GB2 Bar'!$A$2:$A$300,0)),0)</f>
        <v>0</v>
      </c>
      <c r="L38" s="9">
        <f>IFERROR(INDEX('CB1 Bar'!$F$2:$F$300,MATCH(A38,'CB1 Bar'!$A$2:$A$300,0)),0)</f>
        <v>0</v>
      </c>
      <c r="M38" s="9">
        <f>IFERROR(INDEX('CB2 Bar'!$F$2:$F$300,MATCH(A38,'CB2 Bar'!$A$2:$A$300,0)),0)</f>
        <v>0</v>
      </c>
      <c r="N38" s="9">
        <f>IFERROR(INDEX('CB3 Bar'!$F$2:$F$300,MATCH(A38,'CB3 Bar'!$A$2:$A$300,0)),0)</f>
        <v>0</v>
      </c>
      <c r="O38" s="9">
        <f>IFERROR(INDEX('Spirits Room'!$F$2:$F$300,MATCH(A38,'Spirits Room'!$A$2:$A$300,0)),0)</f>
        <v>0</v>
      </c>
      <c r="P38" s="9">
        <f>IFERROR(INDEX('White Wine Fridge'!$F$2:$F$300,MATCH(A38,'White Wine Fridge'!$A$2:$A$300,0)),0)</f>
        <v>0</v>
      </c>
      <c r="Q38" s="9">
        <f>IFERROR(INDEX('Lower Keg'!$F$2:$F$300,MATCH(A38,'Lower Keg'!$A$2:$A$300,0)),0)</f>
        <v>0</v>
      </c>
      <c r="R38" s="9">
        <f>IFERROR(INDEX('Botanical Storeroom'!$F$2:$F$300,MATCH(A38,'Botanical Storeroom'!$A$2:$A$300,0)),0)</f>
        <v>0</v>
      </c>
      <c r="S38" s="9">
        <f>IFERROR(INDEX('Botanical Bar'!$F$2:$F$300,MATCH(A38,'Botanical Bar'!$A$2:$A$300,0)),0)</f>
        <v>0</v>
      </c>
      <c r="T38" s="9">
        <f>IFERROR(INDEX('Loading Dock Fridge'!$F$2:$F$300,MATCH(A38,'Loading Dock Fridge'!$A$2:$A$300,0)),0)</f>
        <v>0</v>
      </c>
      <c r="U38" s="9">
        <f>IFERROR(INDEX('Postmix Loading Dock'!$F$2:$F$300,MATCH(A38,'Postmix Loading Dock'!$A$2:$A$300,0)),0)</f>
        <v>0</v>
      </c>
      <c r="V38" s="9">
        <f>IFERROR(INDEX('Postmix Lower Keg'!$F$2:$F$300,MATCH(A38,'Postmix Lower Keg'!$A$2:$A$300,0)),0)</f>
        <v>0</v>
      </c>
      <c r="W38" s="10">
        <f>IFERROR(INDEX('Postmix TWR'!$F$2:$F$300,MATCH(A38,'Postmix TWR'!$A$2:$A$300,0)),0)</f>
        <v>0</v>
      </c>
    </row>
    <row r="39" spans="1:23" x14ac:dyDescent="0.35">
      <c r="A39" s="8">
        <v>69492</v>
      </c>
      <c r="B39" s="9" t="s">
        <v>72</v>
      </c>
      <c r="C39" s="9" t="s">
        <v>54</v>
      </c>
      <c r="D39" s="9" t="s">
        <v>73</v>
      </c>
      <c r="E39" s="17">
        <v>1</v>
      </c>
      <c r="F39" s="23">
        <f t="shared" si="1"/>
        <v>0</v>
      </c>
      <c r="G39" s="9">
        <f>IFERROR(INDEX('Juice Fridge'!$F$2:$F$300,MATCH(A39,'Juice Fridge'!$A$2:$A$300,0)),0)</f>
        <v>0</v>
      </c>
      <c r="H39" s="9">
        <f>IFERROR(INDEX('Upper Keg'!$F$2:$F$300,MATCH(A39,'Upper Keg'!$A$2:$A$300,0)),0)</f>
        <v>0</v>
      </c>
      <c r="I39" s="9">
        <f>IFERROR(INDEX('Astral Bar'!$F$2:$F$300,MATCH(A39,'Astral Bar'!$A$2:$A$300,0)),0)</f>
        <v>0</v>
      </c>
      <c r="J39" s="9">
        <f>IFERROR(INDEX('GB1 Bar'!$F$2:$F$300,MATCH(A39,'GB1 Bar'!$A$2:$A$300,0)),0)</f>
        <v>0</v>
      </c>
      <c r="K39" s="9">
        <f>IFERROR(INDEX('GB2 Bar'!$F$2:$F$300,MATCH(A39,'GB2 Bar'!$A$2:$A$300,0)),0)</f>
        <v>0</v>
      </c>
      <c r="L39" s="9">
        <f>IFERROR(INDEX('CB1 Bar'!$F$2:$F$300,MATCH(A39,'CB1 Bar'!$A$2:$A$300,0)),0)</f>
        <v>0</v>
      </c>
      <c r="M39" s="9">
        <f>IFERROR(INDEX('CB2 Bar'!$F$2:$F$300,MATCH(A39,'CB2 Bar'!$A$2:$A$300,0)),0)</f>
        <v>0</v>
      </c>
      <c r="N39" s="9">
        <f>IFERROR(INDEX('CB3 Bar'!$F$2:$F$300,MATCH(A39,'CB3 Bar'!$A$2:$A$300,0)),0)</f>
        <v>0</v>
      </c>
      <c r="O39" s="9">
        <f>IFERROR(INDEX('Spirits Room'!$F$2:$F$300,MATCH(A39,'Spirits Room'!$A$2:$A$300,0)),0)</f>
        <v>0</v>
      </c>
      <c r="P39" s="9">
        <f>IFERROR(INDEX('White Wine Fridge'!$F$2:$F$300,MATCH(A39,'White Wine Fridge'!$A$2:$A$300,0)),0)</f>
        <v>0</v>
      </c>
      <c r="Q39" s="9">
        <f>IFERROR(INDEX('Lower Keg'!$F$2:$F$300,MATCH(A39,'Lower Keg'!$A$2:$A$300,0)),0)</f>
        <v>0</v>
      </c>
      <c r="R39" s="9">
        <f>IFERROR(INDEX('Botanical Storeroom'!$F$2:$F$300,MATCH(A39,'Botanical Storeroom'!$A$2:$A$300,0)),0)</f>
        <v>0</v>
      </c>
      <c r="S39" s="9">
        <f>IFERROR(INDEX('Botanical Bar'!$F$2:$F$300,MATCH(A39,'Botanical Bar'!$A$2:$A$300,0)),0)</f>
        <v>0</v>
      </c>
      <c r="T39" s="9">
        <f>IFERROR(INDEX('Loading Dock Fridge'!$F$2:$F$300,MATCH(A39,'Loading Dock Fridge'!$A$2:$A$300,0)),0)</f>
        <v>0</v>
      </c>
      <c r="U39" s="9">
        <f>IFERROR(INDEX('Postmix Loading Dock'!$F$2:$F$300,MATCH(A39,'Postmix Loading Dock'!$A$2:$A$300,0)),0)</f>
        <v>0</v>
      </c>
      <c r="V39" s="9">
        <f>IFERROR(INDEX('Postmix Lower Keg'!$F$2:$F$300,MATCH(A39,'Postmix Lower Keg'!$A$2:$A$300,0)),0)</f>
        <v>0</v>
      </c>
      <c r="W39" s="10">
        <f>IFERROR(INDEX('Postmix TWR'!$F$2:$F$300,MATCH(A39,'Postmix TWR'!$A$2:$A$300,0)),0)</f>
        <v>0</v>
      </c>
    </row>
    <row r="40" spans="1:23" x14ac:dyDescent="0.35">
      <c r="A40" s="8">
        <v>69496</v>
      </c>
      <c r="B40" s="9" t="s">
        <v>72</v>
      </c>
      <c r="C40" s="9" t="s">
        <v>54</v>
      </c>
      <c r="D40" s="9" t="s">
        <v>74</v>
      </c>
      <c r="E40" s="17">
        <v>1</v>
      </c>
      <c r="F40" s="23">
        <f t="shared" si="1"/>
        <v>0</v>
      </c>
      <c r="G40" s="9">
        <f>IFERROR(INDEX('Juice Fridge'!$F$2:$F$300,MATCH(A40,'Juice Fridge'!$A$2:$A$300,0)),0)</f>
        <v>0</v>
      </c>
      <c r="H40" s="9">
        <f>IFERROR(INDEX('Upper Keg'!$F$2:$F$300,MATCH(A40,'Upper Keg'!$A$2:$A$300,0)),0)</f>
        <v>0</v>
      </c>
      <c r="I40" s="9">
        <f>IFERROR(INDEX('Astral Bar'!$F$2:$F$300,MATCH(A40,'Astral Bar'!$A$2:$A$300,0)),0)</f>
        <v>0</v>
      </c>
      <c r="J40" s="9">
        <f>IFERROR(INDEX('GB1 Bar'!$F$2:$F$300,MATCH(A40,'GB1 Bar'!$A$2:$A$300,0)),0)</f>
        <v>0</v>
      </c>
      <c r="K40" s="9">
        <f>IFERROR(INDEX('GB2 Bar'!$F$2:$F$300,MATCH(A40,'GB2 Bar'!$A$2:$A$300,0)),0)</f>
        <v>0</v>
      </c>
      <c r="L40" s="9">
        <f>IFERROR(INDEX('CB1 Bar'!$F$2:$F$300,MATCH(A40,'CB1 Bar'!$A$2:$A$300,0)),0)</f>
        <v>0</v>
      </c>
      <c r="M40" s="9">
        <f>IFERROR(INDEX('CB2 Bar'!$F$2:$F$300,MATCH(A40,'CB2 Bar'!$A$2:$A$300,0)),0)</f>
        <v>0</v>
      </c>
      <c r="N40" s="9">
        <f>IFERROR(INDEX('CB3 Bar'!$F$2:$F$300,MATCH(A40,'CB3 Bar'!$A$2:$A$300,0)),0)</f>
        <v>0</v>
      </c>
      <c r="O40" s="9">
        <f>IFERROR(INDEX('Spirits Room'!$F$2:$F$300,MATCH(A40,'Spirits Room'!$A$2:$A$300,0)),0)</f>
        <v>0</v>
      </c>
      <c r="P40" s="9">
        <f>IFERROR(INDEX('White Wine Fridge'!$F$2:$F$300,MATCH(A40,'White Wine Fridge'!$A$2:$A$300,0)),0)</f>
        <v>0</v>
      </c>
      <c r="Q40" s="9">
        <f>IFERROR(INDEX('Lower Keg'!$F$2:$F$300,MATCH(A40,'Lower Keg'!$A$2:$A$300,0)),0)</f>
        <v>0</v>
      </c>
      <c r="R40" s="9">
        <f>IFERROR(INDEX('Botanical Storeroom'!$F$2:$F$300,MATCH(A40,'Botanical Storeroom'!$A$2:$A$300,0)),0)</f>
        <v>0</v>
      </c>
      <c r="S40" s="9">
        <f>IFERROR(INDEX('Botanical Bar'!$F$2:$F$300,MATCH(A40,'Botanical Bar'!$A$2:$A$300,0)),0)</f>
        <v>0</v>
      </c>
      <c r="T40" s="9">
        <f>IFERROR(INDEX('Loading Dock Fridge'!$F$2:$F$300,MATCH(A40,'Loading Dock Fridge'!$A$2:$A$300,0)),0)</f>
        <v>0</v>
      </c>
      <c r="U40" s="9">
        <f>IFERROR(INDEX('Postmix Loading Dock'!$F$2:$F$300,MATCH(A40,'Postmix Loading Dock'!$A$2:$A$300,0)),0)</f>
        <v>0</v>
      </c>
      <c r="V40" s="9">
        <f>IFERROR(INDEX('Postmix Lower Keg'!$F$2:$F$300,MATCH(A40,'Postmix Lower Keg'!$A$2:$A$300,0)),0)</f>
        <v>0</v>
      </c>
      <c r="W40" s="10">
        <f>IFERROR(INDEX('Postmix TWR'!$F$2:$F$300,MATCH(A40,'Postmix TWR'!$A$2:$A$300,0)),0)</f>
        <v>0</v>
      </c>
    </row>
    <row r="41" spans="1:23" x14ac:dyDescent="0.35">
      <c r="A41" s="8">
        <v>69510</v>
      </c>
      <c r="B41" s="9" t="s">
        <v>72</v>
      </c>
      <c r="C41" s="9" t="s">
        <v>54</v>
      </c>
      <c r="D41" s="9" t="s">
        <v>75</v>
      </c>
      <c r="E41" s="17">
        <v>1</v>
      </c>
      <c r="F41" s="23">
        <f t="shared" si="1"/>
        <v>0</v>
      </c>
      <c r="G41" s="9">
        <f>IFERROR(INDEX('Juice Fridge'!$F$2:$F$300,MATCH(A41,'Juice Fridge'!$A$2:$A$300,0)),0)</f>
        <v>0</v>
      </c>
      <c r="H41" s="9">
        <f>IFERROR(INDEX('Upper Keg'!$F$2:$F$300,MATCH(A41,'Upper Keg'!$A$2:$A$300,0)),0)</f>
        <v>0</v>
      </c>
      <c r="I41" s="9">
        <f>IFERROR(INDEX('Astral Bar'!$F$2:$F$300,MATCH(A41,'Astral Bar'!$A$2:$A$300,0)),0)</f>
        <v>0</v>
      </c>
      <c r="J41" s="9">
        <f>IFERROR(INDEX('GB1 Bar'!$F$2:$F$300,MATCH(A41,'GB1 Bar'!$A$2:$A$300,0)),0)</f>
        <v>0</v>
      </c>
      <c r="K41" s="9">
        <f>IFERROR(INDEX('GB2 Bar'!$F$2:$F$300,MATCH(A41,'GB2 Bar'!$A$2:$A$300,0)),0)</f>
        <v>0</v>
      </c>
      <c r="L41" s="9">
        <f>IFERROR(INDEX('CB1 Bar'!$F$2:$F$300,MATCH(A41,'CB1 Bar'!$A$2:$A$300,0)),0)</f>
        <v>0</v>
      </c>
      <c r="M41" s="9">
        <f>IFERROR(INDEX('CB2 Bar'!$F$2:$F$300,MATCH(A41,'CB2 Bar'!$A$2:$A$300,0)),0)</f>
        <v>0</v>
      </c>
      <c r="N41" s="9">
        <f>IFERROR(INDEX('CB3 Bar'!$F$2:$F$300,MATCH(A41,'CB3 Bar'!$A$2:$A$300,0)),0)</f>
        <v>0</v>
      </c>
      <c r="O41" s="9">
        <f>IFERROR(INDEX('Spirits Room'!$F$2:$F$300,MATCH(A41,'Spirits Room'!$A$2:$A$300,0)),0)</f>
        <v>0</v>
      </c>
      <c r="P41" s="9">
        <f>IFERROR(INDEX('White Wine Fridge'!$F$2:$F$300,MATCH(A41,'White Wine Fridge'!$A$2:$A$300,0)),0)</f>
        <v>0</v>
      </c>
      <c r="Q41" s="9">
        <f>IFERROR(INDEX('Lower Keg'!$F$2:$F$300,MATCH(A41,'Lower Keg'!$A$2:$A$300,0)),0)</f>
        <v>0</v>
      </c>
      <c r="R41" s="9">
        <f>IFERROR(INDEX('Botanical Storeroom'!$F$2:$F$300,MATCH(A41,'Botanical Storeroom'!$A$2:$A$300,0)),0)</f>
        <v>0</v>
      </c>
      <c r="S41" s="9">
        <f>IFERROR(INDEX('Botanical Bar'!$F$2:$F$300,MATCH(A41,'Botanical Bar'!$A$2:$A$300,0)),0)</f>
        <v>0</v>
      </c>
      <c r="T41" s="9">
        <f>IFERROR(INDEX('Loading Dock Fridge'!$F$2:$F$300,MATCH(A41,'Loading Dock Fridge'!$A$2:$A$300,0)),0)</f>
        <v>0</v>
      </c>
      <c r="U41" s="9">
        <f>IFERROR(INDEX('Postmix Loading Dock'!$F$2:$F$300,MATCH(A41,'Postmix Loading Dock'!$A$2:$A$300,0)),0)</f>
        <v>0</v>
      </c>
      <c r="V41" s="9">
        <f>IFERROR(INDEX('Postmix Lower Keg'!$F$2:$F$300,MATCH(A41,'Postmix Lower Keg'!$A$2:$A$300,0)),0)</f>
        <v>0</v>
      </c>
      <c r="W41" s="10">
        <f>IFERROR(INDEX('Postmix TWR'!$F$2:$F$300,MATCH(A41,'Postmix TWR'!$A$2:$A$300,0)),0)</f>
        <v>0</v>
      </c>
    </row>
    <row r="42" spans="1:23" x14ac:dyDescent="0.35">
      <c r="A42" s="8">
        <v>69501</v>
      </c>
      <c r="B42" s="9" t="s">
        <v>72</v>
      </c>
      <c r="C42" s="9" t="s">
        <v>54</v>
      </c>
      <c r="D42" s="9" t="s">
        <v>76</v>
      </c>
      <c r="E42" s="17">
        <v>1</v>
      </c>
      <c r="F42" s="23">
        <f t="shared" si="1"/>
        <v>0</v>
      </c>
      <c r="G42" s="9">
        <f>IFERROR(INDEX('Juice Fridge'!$F$2:$F$300,MATCH(A42,'Juice Fridge'!$A$2:$A$300,0)),0)</f>
        <v>0</v>
      </c>
      <c r="H42" s="9">
        <f>IFERROR(INDEX('Upper Keg'!$F$2:$F$300,MATCH(A42,'Upper Keg'!$A$2:$A$300,0)),0)</f>
        <v>0</v>
      </c>
      <c r="I42" s="9">
        <f>IFERROR(INDEX('Astral Bar'!$F$2:$F$300,MATCH(A42,'Astral Bar'!$A$2:$A$300,0)),0)</f>
        <v>0</v>
      </c>
      <c r="J42" s="9">
        <f>IFERROR(INDEX('GB1 Bar'!$F$2:$F$300,MATCH(A42,'GB1 Bar'!$A$2:$A$300,0)),0)</f>
        <v>0</v>
      </c>
      <c r="K42" s="9">
        <f>IFERROR(INDEX('GB2 Bar'!$F$2:$F$300,MATCH(A42,'GB2 Bar'!$A$2:$A$300,0)),0)</f>
        <v>0</v>
      </c>
      <c r="L42" s="9">
        <f>IFERROR(INDEX('CB1 Bar'!$F$2:$F$300,MATCH(A42,'CB1 Bar'!$A$2:$A$300,0)),0)</f>
        <v>0</v>
      </c>
      <c r="M42" s="9">
        <f>IFERROR(INDEX('CB2 Bar'!$F$2:$F$300,MATCH(A42,'CB2 Bar'!$A$2:$A$300,0)),0)</f>
        <v>0</v>
      </c>
      <c r="N42" s="9">
        <f>IFERROR(INDEX('CB3 Bar'!$F$2:$F$300,MATCH(A42,'CB3 Bar'!$A$2:$A$300,0)),0)</f>
        <v>0</v>
      </c>
      <c r="O42" s="9">
        <f>IFERROR(INDEX('Spirits Room'!$F$2:$F$300,MATCH(A42,'Spirits Room'!$A$2:$A$300,0)),0)</f>
        <v>0</v>
      </c>
      <c r="P42" s="9">
        <f>IFERROR(INDEX('White Wine Fridge'!$F$2:$F$300,MATCH(A42,'White Wine Fridge'!$A$2:$A$300,0)),0)</f>
        <v>0</v>
      </c>
      <c r="Q42" s="9">
        <f>IFERROR(INDEX('Lower Keg'!$F$2:$F$300,MATCH(A42,'Lower Keg'!$A$2:$A$300,0)),0)</f>
        <v>0</v>
      </c>
      <c r="R42" s="9">
        <f>IFERROR(INDEX('Botanical Storeroom'!$F$2:$F$300,MATCH(A42,'Botanical Storeroom'!$A$2:$A$300,0)),0)</f>
        <v>0</v>
      </c>
      <c r="S42" s="9">
        <f>IFERROR(INDEX('Botanical Bar'!$F$2:$F$300,MATCH(A42,'Botanical Bar'!$A$2:$A$300,0)),0)</f>
        <v>0</v>
      </c>
      <c r="T42" s="9">
        <f>IFERROR(INDEX('Loading Dock Fridge'!$F$2:$F$300,MATCH(A42,'Loading Dock Fridge'!$A$2:$A$300,0)),0)</f>
        <v>0</v>
      </c>
      <c r="U42" s="9">
        <f>IFERROR(INDEX('Postmix Loading Dock'!$F$2:$F$300,MATCH(A42,'Postmix Loading Dock'!$A$2:$A$300,0)),0)</f>
        <v>0</v>
      </c>
      <c r="V42" s="9">
        <f>IFERROR(INDEX('Postmix Lower Keg'!$F$2:$F$300,MATCH(A42,'Postmix Lower Keg'!$A$2:$A$300,0)),0)</f>
        <v>0</v>
      </c>
      <c r="W42" s="10">
        <f>IFERROR(INDEX('Postmix TWR'!$F$2:$F$300,MATCH(A42,'Postmix TWR'!$A$2:$A$300,0)),0)</f>
        <v>0</v>
      </c>
    </row>
    <row r="43" spans="1:23" x14ac:dyDescent="0.35">
      <c r="A43" s="8">
        <v>69504</v>
      </c>
      <c r="B43" s="9" t="s">
        <v>72</v>
      </c>
      <c r="C43" s="9" t="s">
        <v>54</v>
      </c>
      <c r="D43" s="9" t="s">
        <v>77</v>
      </c>
      <c r="E43" s="17">
        <v>1</v>
      </c>
      <c r="F43" s="23">
        <f t="shared" si="1"/>
        <v>0</v>
      </c>
      <c r="G43" s="9">
        <f>IFERROR(INDEX('Juice Fridge'!$F$2:$F$300,MATCH(A43,'Juice Fridge'!$A$2:$A$300,0)),0)</f>
        <v>0</v>
      </c>
      <c r="H43" s="9">
        <f>IFERROR(INDEX('Upper Keg'!$F$2:$F$300,MATCH(A43,'Upper Keg'!$A$2:$A$300,0)),0)</f>
        <v>0</v>
      </c>
      <c r="I43" s="9">
        <f>IFERROR(INDEX('Astral Bar'!$F$2:$F$300,MATCH(A43,'Astral Bar'!$A$2:$A$300,0)),0)</f>
        <v>0</v>
      </c>
      <c r="J43" s="9">
        <f>IFERROR(INDEX('GB1 Bar'!$F$2:$F$300,MATCH(A43,'GB1 Bar'!$A$2:$A$300,0)),0)</f>
        <v>0</v>
      </c>
      <c r="K43" s="9">
        <f>IFERROR(INDEX('GB2 Bar'!$F$2:$F$300,MATCH(A43,'GB2 Bar'!$A$2:$A$300,0)),0)</f>
        <v>0</v>
      </c>
      <c r="L43" s="9">
        <f>IFERROR(INDEX('CB1 Bar'!$F$2:$F$300,MATCH(A43,'CB1 Bar'!$A$2:$A$300,0)),0)</f>
        <v>0</v>
      </c>
      <c r="M43" s="9">
        <f>IFERROR(INDEX('CB2 Bar'!$F$2:$F$300,MATCH(A43,'CB2 Bar'!$A$2:$A$300,0)),0)</f>
        <v>0</v>
      </c>
      <c r="N43" s="9">
        <f>IFERROR(INDEX('CB3 Bar'!$F$2:$F$300,MATCH(A43,'CB3 Bar'!$A$2:$A$300,0)),0)</f>
        <v>0</v>
      </c>
      <c r="O43" s="9">
        <f>IFERROR(INDEX('Spirits Room'!$F$2:$F$300,MATCH(A43,'Spirits Room'!$A$2:$A$300,0)),0)</f>
        <v>0</v>
      </c>
      <c r="P43" s="9">
        <f>IFERROR(INDEX('White Wine Fridge'!$F$2:$F$300,MATCH(A43,'White Wine Fridge'!$A$2:$A$300,0)),0)</f>
        <v>0</v>
      </c>
      <c r="Q43" s="9">
        <f>IFERROR(INDEX('Lower Keg'!$F$2:$F$300,MATCH(A43,'Lower Keg'!$A$2:$A$300,0)),0)</f>
        <v>0</v>
      </c>
      <c r="R43" s="9">
        <f>IFERROR(INDEX('Botanical Storeroom'!$F$2:$F$300,MATCH(A43,'Botanical Storeroom'!$A$2:$A$300,0)),0)</f>
        <v>0</v>
      </c>
      <c r="S43" s="9">
        <f>IFERROR(INDEX('Botanical Bar'!$F$2:$F$300,MATCH(A43,'Botanical Bar'!$A$2:$A$300,0)),0)</f>
        <v>0</v>
      </c>
      <c r="T43" s="9">
        <f>IFERROR(INDEX('Loading Dock Fridge'!$F$2:$F$300,MATCH(A43,'Loading Dock Fridge'!$A$2:$A$300,0)),0)</f>
        <v>0</v>
      </c>
      <c r="U43" s="9">
        <f>IFERROR(INDEX('Postmix Loading Dock'!$F$2:$F$300,MATCH(A43,'Postmix Loading Dock'!$A$2:$A$300,0)),0)</f>
        <v>0</v>
      </c>
      <c r="V43" s="9">
        <f>IFERROR(INDEX('Postmix Lower Keg'!$F$2:$F$300,MATCH(A43,'Postmix Lower Keg'!$A$2:$A$300,0)),0)</f>
        <v>0</v>
      </c>
      <c r="W43" s="10">
        <f>IFERROR(INDEX('Postmix TWR'!$F$2:$F$300,MATCH(A43,'Postmix TWR'!$A$2:$A$300,0)),0)</f>
        <v>0</v>
      </c>
    </row>
    <row r="44" spans="1:23" x14ac:dyDescent="0.35">
      <c r="A44" s="8">
        <v>69506</v>
      </c>
      <c r="B44" s="9" t="s">
        <v>72</v>
      </c>
      <c r="C44" s="9" t="s">
        <v>54</v>
      </c>
      <c r="D44" s="9" t="s">
        <v>78</v>
      </c>
      <c r="E44" s="17">
        <v>1</v>
      </c>
      <c r="F44" s="23">
        <f t="shared" si="1"/>
        <v>0</v>
      </c>
      <c r="G44" s="9">
        <f>IFERROR(INDEX('Juice Fridge'!$F$2:$F$300,MATCH(A44,'Juice Fridge'!$A$2:$A$300,0)),0)</f>
        <v>0</v>
      </c>
      <c r="H44" s="9">
        <f>IFERROR(INDEX('Upper Keg'!$F$2:$F$300,MATCH(A44,'Upper Keg'!$A$2:$A$300,0)),0)</f>
        <v>0</v>
      </c>
      <c r="I44" s="9">
        <f>IFERROR(INDEX('Astral Bar'!$F$2:$F$300,MATCH(A44,'Astral Bar'!$A$2:$A$300,0)),0)</f>
        <v>0</v>
      </c>
      <c r="J44" s="9">
        <f>IFERROR(INDEX('GB1 Bar'!$F$2:$F$300,MATCH(A44,'GB1 Bar'!$A$2:$A$300,0)),0)</f>
        <v>0</v>
      </c>
      <c r="K44" s="9">
        <f>IFERROR(INDEX('GB2 Bar'!$F$2:$F$300,MATCH(A44,'GB2 Bar'!$A$2:$A$300,0)),0)</f>
        <v>0</v>
      </c>
      <c r="L44" s="9">
        <f>IFERROR(INDEX('CB1 Bar'!$F$2:$F$300,MATCH(A44,'CB1 Bar'!$A$2:$A$300,0)),0)</f>
        <v>0</v>
      </c>
      <c r="M44" s="9">
        <f>IFERROR(INDEX('CB2 Bar'!$F$2:$F$300,MATCH(A44,'CB2 Bar'!$A$2:$A$300,0)),0)</f>
        <v>0</v>
      </c>
      <c r="N44" s="9">
        <f>IFERROR(INDEX('CB3 Bar'!$F$2:$F$300,MATCH(A44,'CB3 Bar'!$A$2:$A$300,0)),0)</f>
        <v>0</v>
      </c>
      <c r="O44" s="9">
        <f>IFERROR(INDEX('Spirits Room'!$F$2:$F$300,MATCH(A44,'Spirits Room'!$A$2:$A$300,0)),0)</f>
        <v>0</v>
      </c>
      <c r="P44" s="9">
        <f>IFERROR(INDEX('White Wine Fridge'!$F$2:$F$300,MATCH(A44,'White Wine Fridge'!$A$2:$A$300,0)),0)</f>
        <v>0</v>
      </c>
      <c r="Q44" s="9">
        <f>IFERROR(INDEX('Lower Keg'!$F$2:$F$300,MATCH(A44,'Lower Keg'!$A$2:$A$300,0)),0)</f>
        <v>0</v>
      </c>
      <c r="R44" s="9">
        <f>IFERROR(INDEX('Botanical Storeroom'!$F$2:$F$300,MATCH(A44,'Botanical Storeroom'!$A$2:$A$300,0)),0)</f>
        <v>0</v>
      </c>
      <c r="S44" s="9">
        <f>IFERROR(INDEX('Botanical Bar'!$F$2:$F$300,MATCH(A44,'Botanical Bar'!$A$2:$A$300,0)),0)</f>
        <v>0</v>
      </c>
      <c r="T44" s="9">
        <f>IFERROR(INDEX('Loading Dock Fridge'!$F$2:$F$300,MATCH(A44,'Loading Dock Fridge'!$A$2:$A$300,0)),0)</f>
        <v>0</v>
      </c>
      <c r="U44" s="9">
        <f>IFERROR(INDEX('Postmix Loading Dock'!$F$2:$F$300,MATCH(A44,'Postmix Loading Dock'!$A$2:$A$300,0)),0)</f>
        <v>0</v>
      </c>
      <c r="V44" s="9">
        <f>IFERROR(INDEX('Postmix Lower Keg'!$F$2:$F$300,MATCH(A44,'Postmix Lower Keg'!$A$2:$A$300,0)),0)</f>
        <v>0</v>
      </c>
      <c r="W44" s="10">
        <f>IFERROR(INDEX('Postmix TWR'!$F$2:$F$300,MATCH(A44,'Postmix TWR'!$A$2:$A$300,0)),0)</f>
        <v>0</v>
      </c>
    </row>
    <row r="45" spans="1:23" x14ac:dyDescent="0.35">
      <c r="A45" s="8">
        <v>35694</v>
      </c>
      <c r="B45" s="9" t="s">
        <v>79</v>
      </c>
      <c r="C45" s="9" t="s">
        <v>54</v>
      </c>
      <c r="D45" s="9" t="s">
        <v>80</v>
      </c>
      <c r="E45" s="17">
        <v>24</v>
      </c>
      <c r="F45" s="23">
        <f t="shared" si="1"/>
        <v>0</v>
      </c>
      <c r="G45" s="9">
        <f>IFERROR(INDEX('Juice Fridge'!$F$2:$F$300,MATCH(A45,'Juice Fridge'!$A$2:$A$300,0)),0)</f>
        <v>0</v>
      </c>
      <c r="H45" s="9">
        <f>IFERROR(INDEX('Upper Keg'!$F$2:$F$300,MATCH(A45,'Upper Keg'!$A$2:$A$300,0)),0)</f>
        <v>0</v>
      </c>
      <c r="I45" s="9">
        <f>IFERROR(INDEX('Astral Bar'!$F$2:$F$300,MATCH(A45,'Astral Bar'!$A$2:$A$300,0)),0)</f>
        <v>0</v>
      </c>
      <c r="J45" s="9">
        <f>IFERROR(INDEX('GB1 Bar'!$F$2:$F$300,MATCH(A45,'GB1 Bar'!$A$2:$A$300,0)),0)</f>
        <v>0</v>
      </c>
      <c r="K45" s="9">
        <f>IFERROR(INDEX('GB2 Bar'!$F$2:$F$300,MATCH(A45,'GB2 Bar'!$A$2:$A$300,0)),0)</f>
        <v>0</v>
      </c>
      <c r="L45" s="9">
        <f>IFERROR(INDEX('CB1 Bar'!$F$2:$F$300,MATCH(A45,'CB1 Bar'!$A$2:$A$300,0)),0)</f>
        <v>0</v>
      </c>
      <c r="M45" s="9">
        <f>IFERROR(INDEX('CB2 Bar'!$F$2:$F$300,MATCH(A45,'CB2 Bar'!$A$2:$A$300,0)),0)</f>
        <v>0</v>
      </c>
      <c r="N45" s="9">
        <f>IFERROR(INDEX('CB3 Bar'!$F$2:$F$300,MATCH(A45,'CB3 Bar'!$A$2:$A$300,0)),0)</f>
        <v>0</v>
      </c>
      <c r="O45" s="9">
        <f>IFERROR(INDEX('Spirits Room'!$F$2:$F$300,MATCH(A45,'Spirits Room'!$A$2:$A$300,0)),0)</f>
        <v>0</v>
      </c>
      <c r="P45" s="9">
        <f>IFERROR(INDEX('White Wine Fridge'!$F$2:$F$300,MATCH(A45,'White Wine Fridge'!$A$2:$A$300,0)),0)</f>
        <v>0</v>
      </c>
      <c r="Q45" s="9">
        <f>IFERROR(INDEX('Lower Keg'!$F$2:$F$300,MATCH(A45,'Lower Keg'!$A$2:$A$300,0)),0)</f>
        <v>0</v>
      </c>
      <c r="R45" s="9">
        <f>IFERROR(INDEX('Botanical Storeroom'!$F$2:$F$300,MATCH(A45,'Botanical Storeroom'!$A$2:$A$300,0)),0)</f>
        <v>0</v>
      </c>
      <c r="S45" s="9">
        <f>IFERROR(INDEX('Botanical Bar'!$F$2:$F$300,MATCH(A45,'Botanical Bar'!$A$2:$A$300,0)),0)</f>
        <v>0</v>
      </c>
      <c r="T45" s="9">
        <f>IFERROR(INDEX('Loading Dock Fridge'!$F$2:$F$300,MATCH(A45,'Loading Dock Fridge'!$A$2:$A$300,0)),0)</f>
        <v>0</v>
      </c>
      <c r="U45" s="9">
        <f>IFERROR(INDEX('Postmix Loading Dock'!$F$2:$F$300,MATCH(A45,'Postmix Loading Dock'!$A$2:$A$300,0)),0)</f>
        <v>0</v>
      </c>
      <c r="V45" s="9">
        <f>IFERROR(INDEX('Postmix Lower Keg'!$F$2:$F$300,MATCH(A45,'Postmix Lower Keg'!$A$2:$A$300,0)),0)</f>
        <v>0</v>
      </c>
      <c r="W45" s="10">
        <f>IFERROR(INDEX('Postmix TWR'!$F$2:$F$300,MATCH(A45,'Postmix TWR'!$A$2:$A$300,0)),0)</f>
        <v>0</v>
      </c>
    </row>
    <row r="46" spans="1:23" x14ac:dyDescent="0.35">
      <c r="A46" s="8">
        <v>9003</v>
      </c>
      <c r="B46" s="9" t="s">
        <v>79</v>
      </c>
      <c r="C46" s="9" t="s">
        <v>54</v>
      </c>
      <c r="D46" s="9" t="s">
        <v>81</v>
      </c>
      <c r="E46" s="17">
        <v>24</v>
      </c>
      <c r="F46" s="23">
        <f t="shared" si="1"/>
        <v>0</v>
      </c>
      <c r="G46" s="9">
        <f>IFERROR(INDEX('Juice Fridge'!$F$2:$F$300,MATCH(A46,'Juice Fridge'!$A$2:$A$300,0)),0)</f>
        <v>0</v>
      </c>
      <c r="H46" s="9">
        <f>IFERROR(INDEX('Upper Keg'!$F$2:$F$300,MATCH(A46,'Upper Keg'!$A$2:$A$300,0)),0)</f>
        <v>0</v>
      </c>
      <c r="I46" s="9">
        <f>IFERROR(INDEX('Astral Bar'!$F$2:$F$300,MATCH(A46,'Astral Bar'!$A$2:$A$300,0)),0)</f>
        <v>0</v>
      </c>
      <c r="J46" s="9">
        <f>IFERROR(INDEX('GB1 Bar'!$F$2:$F$300,MATCH(A46,'GB1 Bar'!$A$2:$A$300,0)),0)</f>
        <v>0</v>
      </c>
      <c r="K46" s="9">
        <f>IFERROR(INDEX('GB2 Bar'!$F$2:$F$300,MATCH(A46,'GB2 Bar'!$A$2:$A$300,0)),0)</f>
        <v>0</v>
      </c>
      <c r="L46" s="9">
        <f>IFERROR(INDEX('CB1 Bar'!$F$2:$F$300,MATCH(A46,'CB1 Bar'!$A$2:$A$300,0)),0)</f>
        <v>0</v>
      </c>
      <c r="M46" s="9">
        <f>IFERROR(INDEX('CB2 Bar'!$F$2:$F$300,MATCH(A46,'CB2 Bar'!$A$2:$A$300,0)),0)</f>
        <v>0</v>
      </c>
      <c r="N46" s="9">
        <f>IFERROR(INDEX('CB3 Bar'!$F$2:$F$300,MATCH(A46,'CB3 Bar'!$A$2:$A$300,0)),0)</f>
        <v>0</v>
      </c>
      <c r="O46" s="9">
        <f>IFERROR(INDEX('Spirits Room'!$F$2:$F$300,MATCH(A46,'Spirits Room'!$A$2:$A$300,0)),0)</f>
        <v>0</v>
      </c>
      <c r="P46" s="9">
        <f>IFERROR(INDEX('White Wine Fridge'!$F$2:$F$300,MATCH(A46,'White Wine Fridge'!$A$2:$A$300,0)),0)</f>
        <v>0</v>
      </c>
      <c r="Q46" s="9">
        <f>IFERROR(INDEX('Lower Keg'!$F$2:$F$300,MATCH(A46,'Lower Keg'!$A$2:$A$300,0)),0)</f>
        <v>0</v>
      </c>
      <c r="R46" s="9">
        <f>IFERROR(INDEX('Botanical Storeroom'!$F$2:$F$300,MATCH(A46,'Botanical Storeroom'!$A$2:$A$300,0)),0)</f>
        <v>0</v>
      </c>
      <c r="S46" s="9">
        <f>IFERROR(INDEX('Botanical Bar'!$F$2:$F$300,MATCH(A46,'Botanical Bar'!$A$2:$A$300,0)),0)</f>
        <v>0</v>
      </c>
      <c r="T46" s="9">
        <f>IFERROR(INDEX('Loading Dock Fridge'!$F$2:$F$300,MATCH(A46,'Loading Dock Fridge'!$A$2:$A$300,0)),0)</f>
        <v>0</v>
      </c>
      <c r="U46" s="9">
        <f>IFERROR(INDEX('Postmix Loading Dock'!$F$2:$F$300,MATCH(A46,'Postmix Loading Dock'!$A$2:$A$300,0)),0)</f>
        <v>0</v>
      </c>
      <c r="V46" s="9">
        <f>IFERROR(INDEX('Postmix Lower Keg'!$F$2:$F$300,MATCH(A46,'Postmix Lower Keg'!$A$2:$A$300,0)),0)</f>
        <v>0</v>
      </c>
      <c r="W46" s="10">
        <f>IFERROR(INDEX('Postmix TWR'!$F$2:$F$300,MATCH(A46,'Postmix TWR'!$A$2:$A$300,0)),0)</f>
        <v>0</v>
      </c>
    </row>
    <row r="47" spans="1:23" x14ac:dyDescent="0.35">
      <c r="A47" s="8">
        <v>9004</v>
      </c>
      <c r="B47" s="9" t="s">
        <v>79</v>
      </c>
      <c r="C47" s="9" t="s">
        <v>54</v>
      </c>
      <c r="D47" s="9" t="s">
        <v>82</v>
      </c>
      <c r="E47" s="17">
        <v>24</v>
      </c>
      <c r="F47" s="23">
        <f t="shared" si="1"/>
        <v>0</v>
      </c>
      <c r="G47" s="9">
        <f>IFERROR(INDEX('Juice Fridge'!$F$2:$F$300,MATCH(A47,'Juice Fridge'!$A$2:$A$300,0)),0)</f>
        <v>0</v>
      </c>
      <c r="H47" s="9">
        <f>IFERROR(INDEX('Upper Keg'!$F$2:$F$300,MATCH(A47,'Upper Keg'!$A$2:$A$300,0)),0)</f>
        <v>0</v>
      </c>
      <c r="I47" s="9">
        <f>IFERROR(INDEX('Astral Bar'!$F$2:$F$300,MATCH(A47,'Astral Bar'!$A$2:$A$300,0)),0)</f>
        <v>0</v>
      </c>
      <c r="J47" s="9">
        <f>IFERROR(INDEX('GB1 Bar'!$F$2:$F$300,MATCH(A47,'GB1 Bar'!$A$2:$A$300,0)),0)</f>
        <v>0</v>
      </c>
      <c r="K47" s="9">
        <f>IFERROR(INDEX('GB2 Bar'!$F$2:$F$300,MATCH(A47,'GB2 Bar'!$A$2:$A$300,0)),0)</f>
        <v>0</v>
      </c>
      <c r="L47" s="9">
        <f>IFERROR(INDEX('CB1 Bar'!$F$2:$F$300,MATCH(A47,'CB1 Bar'!$A$2:$A$300,0)),0)</f>
        <v>0</v>
      </c>
      <c r="M47" s="9">
        <f>IFERROR(INDEX('CB2 Bar'!$F$2:$F$300,MATCH(A47,'CB2 Bar'!$A$2:$A$300,0)),0)</f>
        <v>0</v>
      </c>
      <c r="N47" s="9">
        <f>IFERROR(INDEX('CB3 Bar'!$F$2:$F$300,MATCH(A47,'CB3 Bar'!$A$2:$A$300,0)),0)</f>
        <v>0</v>
      </c>
      <c r="O47" s="9">
        <f>IFERROR(INDEX('Spirits Room'!$F$2:$F$300,MATCH(A47,'Spirits Room'!$A$2:$A$300,0)),0)</f>
        <v>0</v>
      </c>
      <c r="P47" s="9">
        <f>IFERROR(INDEX('White Wine Fridge'!$F$2:$F$300,MATCH(A47,'White Wine Fridge'!$A$2:$A$300,0)),0)</f>
        <v>0</v>
      </c>
      <c r="Q47" s="9">
        <f>IFERROR(INDEX('Lower Keg'!$F$2:$F$300,MATCH(A47,'Lower Keg'!$A$2:$A$300,0)),0)</f>
        <v>0</v>
      </c>
      <c r="R47" s="9">
        <f>IFERROR(INDEX('Botanical Storeroom'!$F$2:$F$300,MATCH(A47,'Botanical Storeroom'!$A$2:$A$300,0)),0)</f>
        <v>0</v>
      </c>
      <c r="S47" s="9">
        <f>IFERROR(INDEX('Botanical Bar'!$F$2:$F$300,MATCH(A47,'Botanical Bar'!$A$2:$A$300,0)),0)</f>
        <v>0</v>
      </c>
      <c r="T47" s="9">
        <f>IFERROR(INDEX('Loading Dock Fridge'!$F$2:$F$300,MATCH(A47,'Loading Dock Fridge'!$A$2:$A$300,0)),0)</f>
        <v>0</v>
      </c>
      <c r="U47" s="9">
        <f>IFERROR(INDEX('Postmix Loading Dock'!$F$2:$F$300,MATCH(A47,'Postmix Loading Dock'!$A$2:$A$300,0)),0)</f>
        <v>0</v>
      </c>
      <c r="V47" s="9">
        <f>IFERROR(INDEX('Postmix Lower Keg'!$F$2:$F$300,MATCH(A47,'Postmix Lower Keg'!$A$2:$A$300,0)),0)</f>
        <v>0</v>
      </c>
      <c r="W47" s="10">
        <f>IFERROR(INDEX('Postmix TWR'!$F$2:$F$300,MATCH(A47,'Postmix TWR'!$A$2:$A$300,0)),0)</f>
        <v>0</v>
      </c>
    </row>
    <row r="48" spans="1:23" x14ac:dyDescent="0.35">
      <c r="A48" s="8">
        <v>69493</v>
      </c>
      <c r="B48" s="9" t="s">
        <v>79</v>
      </c>
      <c r="C48" s="9" t="s">
        <v>54</v>
      </c>
      <c r="D48" s="9" t="s">
        <v>83</v>
      </c>
      <c r="E48" s="17">
        <v>24</v>
      </c>
      <c r="F48" s="23">
        <f t="shared" si="1"/>
        <v>0</v>
      </c>
      <c r="G48" s="9">
        <f>IFERROR(INDEX('Juice Fridge'!$F$2:$F$300,MATCH(A48,'Juice Fridge'!$A$2:$A$300,0)),0)</f>
        <v>0</v>
      </c>
      <c r="H48" s="9">
        <f>IFERROR(INDEX('Upper Keg'!$F$2:$F$300,MATCH(A48,'Upper Keg'!$A$2:$A$300,0)),0)</f>
        <v>0</v>
      </c>
      <c r="I48" s="9">
        <f>IFERROR(INDEX('Astral Bar'!$F$2:$F$300,MATCH(A48,'Astral Bar'!$A$2:$A$300,0)),0)</f>
        <v>0</v>
      </c>
      <c r="J48" s="9">
        <f>IFERROR(INDEX('GB1 Bar'!$F$2:$F$300,MATCH(A48,'GB1 Bar'!$A$2:$A$300,0)),0)</f>
        <v>0</v>
      </c>
      <c r="K48" s="9">
        <f>IFERROR(INDEX('GB2 Bar'!$F$2:$F$300,MATCH(A48,'GB2 Bar'!$A$2:$A$300,0)),0)</f>
        <v>0</v>
      </c>
      <c r="L48" s="9">
        <f>IFERROR(INDEX('CB1 Bar'!$F$2:$F$300,MATCH(A48,'CB1 Bar'!$A$2:$A$300,0)),0)</f>
        <v>0</v>
      </c>
      <c r="M48" s="9">
        <f>IFERROR(INDEX('CB2 Bar'!$F$2:$F$300,MATCH(A48,'CB2 Bar'!$A$2:$A$300,0)),0)</f>
        <v>0</v>
      </c>
      <c r="N48" s="9">
        <f>IFERROR(INDEX('CB3 Bar'!$F$2:$F$300,MATCH(A48,'CB3 Bar'!$A$2:$A$300,0)),0)</f>
        <v>0</v>
      </c>
      <c r="O48" s="9">
        <f>IFERROR(INDEX('Spirits Room'!$F$2:$F$300,MATCH(A48,'Spirits Room'!$A$2:$A$300,0)),0)</f>
        <v>0</v>
      </c>
      <c r="P48" s="9">
        <f>IFERROR(INDEX('White Wine Fridge'!$F$2:$F$300,MATCH(A48,'White Wine Fridge'!$A$2:$A$300,0)),0)</f>
        <v>0</v>
      </c>
      <c r="Q48" s="9">
        <f>IFERROR(INDEX('Lower Keg'!$F$2:$F$300,MATCH(A48,'Lower Keg'!$A$2:$A$300,0)),0)</f>
        <v>0</v>
      </c>
      <c r="R48" s="9">
        <f>IFERROR(INDEX('Botanical Storeroom'!$F$2:$F$300,MATCH(A48,'Botanical Storeroom'!$A$2:$A$300,0)),0)</f>
        <v>0</v>
      </c>
      <c r="S48" s="9">
        <f>IFERROR(INDEX('Botanical Bar'!$F$2:$F$300,MATCH(A48,'Botanical Bar'!$A$2:$A$300,0)),0)</f>
        <v>0</v>
      </c>
      <c r="T48" s="9">
        <f>IFERROR(INDEX('Loading Dock Fridge'!$F$2:$F$300,MATCH(A48,'Loading Dock Fridge'!$A$2:$A$300,0)),0)</f>
        <v>0</v>
      </c>
      <c r="U48" s="9">
        <f>IFERROR(INDEX('Postmix Loading Dock'!$F$2:$F$300,MATCH(A48,'Postmix Loading Dock'!$A$2:$A$300,0)),0)</f>
        <v>0</v>
      </c>
      <c r="V48" s="9">
        <f>IFERROR(INDEX('Postmix Lower Keg'!$F$2:$F$300,MATCH(A48,'Postmix Lower Keg'!$A$2:$A$300,0)),0)</f>
        <v>0</v>
      </c>
      <c r="W48" s="10">
        <f>IFERROR(INDEX('Postmix TWR'!$F$2:$F$300,MATCH(A48,'Postmix TWR'!$A$2:$A$300,0)),0)</f>
        <v>0</v>
      </c>
    </row>
    <row r="49" spans="1:23" x14ac:dyDescent="0.35">
      <c r="A49" s="8">
        <v>69467</v>
      </c>
      <c r="B49" s="9" t="s">
        <v>79</v>
      </c>
      <c r="C49" s="9" t="s">
        <v>54</v>
      </c>
      <c r="D49" s="9" t="s">
        <v>84</v>
      </c>
      <c r="E49" s="17">
        <v>24</v>
      </c>
      <c r="F49" s="23">
        <f t="shared" si="1"/>
        <v>0</v>
      </c>
      <c r="G49" s="9">
        <f>IFERROR(INDEX('Juice Fridge'!$F$2:$F$300,MATCH(A49,'Juice Fridge'!$A$2:$A$300,0)),0)</f>
        <v>0</v>
      </c>
      <c r="H49" s="9">
        <f>IFERROR(INDEX('Upper Keg'!$F$2:$F$300,MATCH(A49,'Upper Keg'!$A$2:$A$300,0)),0)</f>
        <v>0</v>
      </c>
      <c r="I49" s="9">
        <f>IFERROR(INDEX('Astral Bar'!$F$2:$F$300,MATCH(A49,'Astral Bar'!$A$2:$A$300,0)),0)</f>
        <v>0</v>
      </c>
      <c r="J49" s="9">
        <f>IFERROR(INDEX('GB1 Bar'!$F$2:$F$300,MATCH(A49,'GB1 Bar'!$A$2:$A$300,0)),0)</f>
        <v>0</v>
      </c>
      <c r="K49" s="9">
        <f>IFERROR(INDEX('GB2 Bar'!$F$2:$F$300,MATCH(A49,'GB2 Bar'!$A$2:$A$300,0)),0)</f>
        <v>0</v>
      </c>
      <c r="L49" s="9">
        <f>IFERROR(INDEX('CB1 Bar'!$F$2:$F$300,MATCH(A49,'CB1 Bar'!$A$2:$A$300,0)),0)</f>
        <v>0</v>
      </c>
      <c r="M49" s="9">
        <f>IFERROR(INDEX('CB2 Bar'!$F$2:$F$300,MATCH(A49,'CB2 Bar'!$A$2:$A$300,0)),0)</f>
        <v>0</v>
      </c>
      <c r="N49" s="9">
        <f>IFERROR(INDEX('CB3 Bar'!$F$2:$F$300,MATCH(A49,'CB3 Bar'!$A$2:$A$300,0)),0)</f>
        <v>0</v>
      </c>
      <c r="O49" s="9">
        <f>IFERROR(INDEX('Spirits Room'!$F$2:$F$300,MATCH(A49,'Spirits Room'!$A$2:$A$300,0)),0)</f>
        <v>0</v>
      </c>
      <c r="P49" s="9">
        <f>IFERROR(INDEX('White Wine Fridge'!$F$2:$F$300,MATCH(A49,'White Wine Fridge'!$A$2:$A$300,0)),0)</f>
        <v>0</v>
      </c>
      <c r="Q49" s="9">
        <f>IFERROR(INDEX('Lower Keg'!$F$2:$F$300,MATCH(A49,'Lower Keg'!$A$2:$A$300,0)),0)</f>
        <v>0</v>
      </c>
      <c r="R49" s="9">
        <f>IFERROR(INDEX('Botanical Storeroom'!$F$2:$F$300,MATCH(A49,'Botanical Storeroom'!$A$2:$A$300,0)),0)</f>
        <v>0</v>
      </c>
      <c r="S49" s="9">
        <f>IFERROR(INDEX('Botanical Bar'!$F$2:$F$300,MATCH(A49,'Botanical Bar'!$A$2:$A$300,0)),0)</f>
        <v>0</v>
      </c>
      <c r="T49" s="9">
        <f>IFERROR(INDEX('Loading Dock Fridge'!$F$2:$F$300,MATCH(A49,'Loading Dock Fridge'!$A$2:$A$300,0)),0)</f>
        <v>0</v>
      </c>
      <c r="U49" s="9">
        <f>IFERROR(INDEX('Postmix Loading Dock'!$F$2:$F$300,MATCH(A49,'Postmix Loading Dock'!$A$2:$A$300,0)),0)</f>
        <v>0</v>
      </c>
      <c r="V49" s="9">
        <f>IFERROR(INDEX('Postmix Lower Keg'!$F$2:$F$300,MATCH(A49,'Postmix Lower Keg'!$A$2:$A$300,0)),0)</f>
        <v>0</v>
      </c>
      <c r="W49" s="10">
        <f>IFERROR(INDEX('Postmix TWR'!$F$2:$F$300,MATCH(A49,'Postmix TWR'!$A$2:$A$300,0)),0)</f>
        <v>0</v>
      </c>
    </row>
    <row r="50" spans="1:23" x14ac:dyDescent="0.35">
      <c r="A50" s="8">
        <v>18113</v>
      </c>
      <c r="B50" s="9" t="s">
        <v>79</v>
      </c>
      <c r="C50" s="9" t="s">
        <v>54</v>
      </c>
      <c r="D50" s="9" t="s">
        <v>85</v>
      </c>
      <c r="E50" s="17">
        <v>24</v>
      </c>
      <c r="F50" s="23">
        <f t="shared" si="1"/>
        <v>0</v>
      </c>
      <c r="G50" s="9">
        <f>IFERROR(INDEX('Juice Fridge'!$F$2:$F$300,MATCH(A50,'Juice Fridge'!$A$2:$A$300,0)),0)</f>
        <v>0</v>
      </c>
      <c r="H50" s="9">
        <f>IFERROR(INDEX('Upper Keg'!$F$2:$F$300,MATCH(A50,'Upper Keg'!$A$2:$A$300,0)),0)</f>
        <v>0</v>
      </c>
      <c r="I50" s="9">
        <f>IFERROR(INDEX('Astral Bar'!$F$2:$F$300,MATCH(A50,'Astral Bar'!$A$2:$A$300,0)),0)</f>
        <v>0</v>
      </c>
      <c r="J50" s="9">
        <f>IFERROR(INDEX('GB1 Bar'!$F$2:$F$300,MATCH(A50,'GB1 Bar'!$A$2:$A$300,0)),0)</f>
        <v>0</v>
      </c>
      <c r="K50" s="9">
        <f>IFERROR(INDEX('GB2 Bar'!$F$2:$F$300,MATCH(A50,'GB2 Bar'!$A$2:$A$300,0)),0)</f>
        <v>0</v>
      </c>
      <c r="L50" s="9">
        <f>IFERROR(INDEX('CB1 Bar'!$F$2:$F$300,MATCH(A50,'CB1 Bar'!$A$2:$A$300,0)),0)</f>
        <v>0</v>
      </c>
      <c r="M50" s="9">
        <f>IFERROR(INDEX('CB2 Bar'!$F$2:$F$300,MATCH(A50,'CB2 Bar'!$A$2:$A$300,0)),0)</f>
        <v>0</v>
      </c>
      <c r="N50" s="9">
        <f>IFERROR(INDEX('CB3 Bar'!$F$2:$F$300,MATCH(A50,'CB3 Bar'!$A$2:$A$300,0)),0)</f>
        <v>0</v>
      </c>
      <c r="O50" s="9">
        <f>IFERROR(INDEX('Spirits Room'!$F$2:$F$300,MATCH(A50,'Spirits Room'!$A$2:$A$300,0)),0)</f>
        <v>0</v>
      </c>
      <c r="P50" s="9">
        <f>IFERROR(INDEX('White Wine Fridge'!$F$2:$F$300,MATCH(A50,'White Wine Fridge'!$A$2:$A$300,0)),0)</f>
        <v>0</v>
      </c>
      <c r="Q50" s="9">
        <f>IFERROR(INDEX('Lower Keg'!$F$2:$F$300,MATCH(A50,'Lower Keg'!$A$2:$A$300,0)),0)</f>
        <v>0</v>
      </c>
      <c r="R50" s="9">
        <f>IFERROR(INDEX('Botanical Storeroom'!$F$2:$F$300,MATCH(A50,'Botanical Storeroom'!$A$2:$A$300,0)),0)</f>
        <v>0</v>
      </c>
      <c r="S50" s="9">
        <f>IFERROR(INDEX('Botanical Bar'!$F$2:$F$300,MATCH(A50,'Botanical Bar'!$A$2:$A$300,0)),0)</f>
        <v>0</v>
      </c>
      <c r="T50" s="9">
        <f>IFERROR(INDEX('Loading Dock Fridge'!$F$2:$F$300,MATCH(A50,'Loading Dock Fridge'!$A$2:$A$300,0)),0)</f>
        <v>0</v>
      </c>
      <c r="U50" s="9">
        <f>IFERROR(INDEX('Postmix Loading Dock'!$F$2:$F$300,MATCH(A50,'Postmix Loading Dock'!$A$2:$A$300,0)),0)</f>
        <v>0</v>
      </c>
      <c r="V50" s="9">
        <f>IFERROR(INDEX('Postmix Lower Keg'!$F$2:$F$300,MATCH(A50,'Postmix Lower Keg'!$A$2:$A$300,0)),0)</f>
        <v>0</v>
      </c>
      <c r="W50" s="10">
        <f>IFERROR(INDEX('Postmix TWR'!$F$2:$F$300,MATCH(A50,'Postmix TWR'!$A$2:$A$300,0)),0)</f>
        <v>0</v>
      </c>
    </row>
    <row r="51" spans="1:23" x14ac:dyDescent="0.35">
      <c r="A51" s="8">
        <v>34649</v>
      </c>
      <c r="B51" s="9" t="s">
        <v>79</v>
      </c>
      <c r="C51" s="9" t="s">
        <v>54</v>
      </c>
      <c r="D51" s="9" t="s">
        <v>86</v>
      </c>
      <c r="E51" s="17">
        <v>24</v>
      </c>
      <c r="F51" s="23">
        <f t="shared" si="1"/>
        <v>0</v>
      </c>
      <c r="G51" s="9">
        <f>IFERROR(INDEX('Juice Fridge'!$F$2:$F$300,MATCH(A51,'Juice Fridge'!$A$2:$A$300,0)),0)</f>
        <v>0</v>
      </c>
      <c r="H51" s="9">
        <f>IFERROR(INDEX('Upper Keg'!$F$2:$F$300,MATCH(A51,'Upper Keg'!$A$2:$A$300,0)),0)</f>
        <v>0</v>
      </c>
      <c r="I51" s="9">
        <f>IFERROR(INDEX('Astral Bar'!$F$2:$F$300,MATCH(A51,'Astral Bar'!$A$2:$A$300,0)),0)</f>
        <v>0</v>
      </c>
      <c r="J51" s="9">
        <f>IFERROR(INDEX('GB1 Bar'!$F$2:$F$300,MATCH(A51,'GB1 Bar'!$A$2:$A$300,0)),0)</f>
        <v>0</v>
      </c>
      <c r="K51" s="9">
        <f>IFERROR(INDEX('GB2 Bar'!$F$2:$F$300,MATCH(A51,'GB2 Bar'!$A$2:$A$300,0)),0)</f>
        <v>0</v>
      </c>
      <c r="L51" s="9">
        <f>IFERROR(INDEX('CB1 Bar'!$F$2:$F$300,MATCH(A51,'CB1 Bar'!$A$2:$A$300,0)),0)</f>
        <v>0</v>
      </c>
      <c r="M51" s="9">
        <f>IFERROR(INDEX('CB2 Bar'!$F$2:$F$300,MATCH(A51,'CB2 Bar'!$A$2:$A$300,0)),0)</f>
        <v>0</v>
      </c>
      <c r="N51" s="9">
        <f>IFERROR(INDEX('CB3 Bar'!$F$2:$F$300,MATCH(A51,'CB3 Bar'!$A$2:$A$300,0)),0)</f>
        <v>0</v>
      </c>
      <c r="O51" s="9">
        <f>IFERROR(INDEX('Spirits Room'!$F$2:$F$300,MATCH(A51,'Spirits Room'!$A$2:$A$300,0)),0)</f>
        <v>0</v>
      </c>
      <c r="P51" s="9">
        <f>IFERROR(INDEX('White Wine Fridge'!$F$2:$F$300,MATCH(A51,'White Wine Fridge'!$A$2:$A$300,0)),0)</f>
        <v>0</v>
      </c>
      <c r="Q51" s="9">
        <f>IFERROR(INDEX('Lower Keg'!$F$2:$F$300,MATCH(A51,'Lower Keg'!$A$2:$A$300,0)),0)</f>
        <v>0</v>
      </c>
      <c r="R51" s="9">
        <f>IFERROR(INDEX('Botanical Storeroom'!$F$2:$F$300,MATCH(A51,'Botanical Storeroom'!$A$2:$A$300,0)),0)</f>
        <v>0</v>
      </c>
      <c r="S51" s="9">
        <f>IFERROR(INDEX('Botanical Bar'!$F$2:$F$300,MATCH(A51,'Botanical Bar'!$A$2:$A$300,0)),0)</f>
        <v>0</v>
      </c>
      <c r="T51" s="9">
        <f>IFERROR(INDEX('Loading Dock Fridge'!$F$2:$F$300,MATCH(A51,'Loading Dock Fridge'!$A$2:$A$300,0)),0)</f>
        <v>0</v>
      </c>
      <c r="U51" s="9">
        <f>IFERROR(INDEX('Postmix Loading Dock'!$F$2:$F$300,MATCH(A51,'Postmix Loading Dock'!$A$2:$A$300,0)),0)</f>
        <v>0</v>
      </c>
      <c r="V51" s="9">
        <f>IFERROR(INDEX('Postmix Lower Keg'!$F$2:$F$300,MATCH(A51,'Postmix Lower Keg'!$A$2:$A$300,0)),0)</f>
        <v>0</v>
      </c>
      <c r="W51" s="10">
        <f>IFERROR(INDEX('Postmix TWR'!$F$2:$F$300,MATCH(A51,'Postmix TWR'!$A$2:$A$300,0)),0)</f>
        <v>0</v>
      </c>
    </row>
    <row r="52" spans="1:23" x14ac:dyDescent="0.35">
      <c r="A52" s="8">
        <v>69505</v>
      </c>
      <c r="B52" s="9" t="s">
        <v>79</v>
      </c>
      <c r="C52" s="9" t="s">
        <v>54</v>
      </c>
      <c r="D52" s="9" t="s">
        <v>87</v>
      </c>
      <c r="E52" s="17">
        <v>24</v>
      </c>
      <c r="F52" s="23">
        <f t="shared" si="1"/>
        <v>0</v>
      </c>
      <c r="G52" s="9">
        <f>IFERROR(INDEX('Juice Fridge'!$F$2:$F$300,MATCH(A52,'Juice Fridge'!$A$2:$A$300,0)),0)</f>
        <v>0</v>
      </c>
      <c r="H52" s="9">
        <f>IFERROR(INDEX('Upper Keg'!$F$2:$F$300,MATCH(A52,'Upper Keg'!$A$2:$A$300,0)),0)</f>
        <v>0</v>
      </c>
      <c r="I52" s="9">
        <f>IFERROR(INDEX('Astral Bar'!$F$2:$F$300,MATCH(A52,'Astral Bar'!$A$2:$A$300,0)),0)</f>
        <v>0</v>
      </c>
      <c r="J52" s="9">
        <f>IFERROR(INDEX('GB1 Bar'!$F$2:$F$300,MATCH(A52,'GB1 Bar'!$A$2:$A$300,0)),0)</f>
        <v>0</v>
      </c>
      <c r="K52" s="9">
        <f>IFERROR(INDEX('GB2 Bar'!$F$2:$F$300,MATCH(A52,'GB2 Bar'!$A$2:$A$300,0)),0)</f>
        <v>0</v>
      </c>
      <c r="L52" s="9">
        <f>IFERROR(INDEX('CB1 Bar'!$F$2:$F$300,MATCH(A52,'CB1 Bar'!$A$2:$A$300,0)),0)</f>
        <v>0</v>
      </c>
      <c r="M52" s="9">
        <f>IFERROR(INDEX('CB2 Bar'!$F$2:$F$300,MATCH(A52,'CB2 Bar'!$A$2:$A$300,0)),0)</f>
        <v>0</v>
      </c>
      <c r="N52" s="9">
        <f>IFERROR(INDEX('CB3 Bar'!$F$2:$F$300,MATCH(A52,'CB3 Bar'!$A$2:$A$300,0)),0)</f>
        <v>0</v>
      </c>
      <c r="O52" s="9">
        <f>IFERROR(INDEX('Spirits Room'!$F$2:$F$300,MATCH(A52,'Spirits Room'!$A$2:$A$300,0)),0)</f>
        <v>0</v>
      </c>
      <c r="P52" s="9">
        <f>IFERROR(INDEX('White Wine Fridge'!$F$2:$F$300,MATCH(A52,'White Wine Fridge'!$A$2:$A$300,0)),0)</f>
        <v>0</v>
      </c>
      <c r="Q52" s="9">
        <f>IFERROR(INDEX('Lower Keg'!$F$2:$F$300,MATCH(A52,'Lower Keg'!$A$2:$A$300,0)),0)</f>
        <v>0</v>
      </c>
      <c r="R52" s="9">
        <f>IFERROR(INDEX('Botanical Storeroom'!$F$2:$F$300,MATCH(A52,'Botanical Storeroom'!$A$2:$A$300,0)),0)</f>
        <v>0</v>
      </c>
      <c r="S52" s="9">
        <f>IFERROR(INDEX('Botanical Bar'!$F$2:$F$300,MATCH(A52,'Botanical Bar'!$A$2:$A$300,0)),0)</f>
        <v>0</v>
      </c>
      <c r="T52" s="9">
        <f>IFERROR(INDEX('Loading Dock Fridge'!$F$2:$F$300,MATCH(A52,'Loading Dock Fridge'!$A$2:$A$300,0)),0)</f>
        <v>0</v>
      </c>
      <c r="U52" s="9">
        <f>IFERROR(INDEX('Postmix Loading Dock'!$F$2:$F$300,MATCH(A52,'Postmix Loading Dock'!$A$2:$A$300,0)),0)</f>
        <v>0</v>
      </c>
      <c r="V52" s="9">
        <f>IFERROR(INDEX('Postmix Lower Keg'!$F$2:$F$300,MATCH(A52,'Postmix Lower Keg'!$A$2:$A$300,0)),0)</f>
        <v>0</v>
      </c>
      <c r="W52" s="10">
        <f>IFERROR(INDEX('Postmix TWR'!$F$2:$F$300,MATCH(A52,'Postmix TWR'!$A$2:$A$300,0)),0)</f>
        <v>0</v>
      </c>
    </row>
    <row r="53" spans="1:23" x14ac:dyDescent="0.35">
      <c r="A53" s="8">
        <v>69500</v>
      </c>
      <c r="B53" s="9" t="s">
        <v>79</v>
      </c>
      <c r="C53" s="9" t="s">
        <v>54</v>
      </c>
      <c r="D53" s="9" t="s">
        <v>88</v>
      </c>
      <c r="E53" s="17">
        <v>24</v>
      </c>
      <c r="F53" s="23">
        <f t="shared" si="1"/>
        <v>0</v>
      </c>
      <c r="G53" s="9">
        <f>IFERROR(INDEX('Juice Fridge'!$F$2:$F$300,MATCH(A53,'Juice Fridge'!$A$2:$A$300,0)),0)</f>
        <v>0</v>
      </c>
      <c r="H53" s="9">
        <f>IFERROR(INDEX('Upper Keg'!$F$2:$F$300,MATCH(A53,'Upper Keg'!$A$2:$A$300,0)),0)</f>
        <v>0</v>
      </c>
      <c r="I53" s="9">
        <f>IFERROR(INDEX('Astral Bar'!$F$2:$F$300,MATCH(A53,'Astral Bar'!$A$2:$A$300,0)),0)</f>
        <v>0</v>
      </c>
      <c r="J53" s="9">
        <f>IFERROR(INDEX('GB1 Bar'!$F$2:$F$300,MATCH(A53,'GB1 Bar'!$A$2:$A$300,0)),0)</f>
        <v>0</v>
      </c>
      <c r="K53" s="9">
        <f>IFERROR(INDEX('GB2 Bar'!$F$2:$F$300,MATCH(A53,'GB2 Bar'!$A$2:$A$300,0)),0)</f>
        <v>0</v>
      </c>
      <c r="L53" s="9">
        <f>IFERROR(INDEX('CB1 Bar'!$F$2:$F$300,MATCH(A53,'CB1 Bar'!$A$2:$A$300,0)),0)</f>
        <v>0</v>
      </c>
      <c r="M53" s="9">
        <f>IFERROR(INDEX('CB2 Bar'!$F$2:$F$300,MATCH(A53,'CB2 Bar'!$A$2:$A$300,0)),0)</f>
        <v>0</v>
      </c>
      <c r="N53" s="9">
        <f>IFERROR(INDEX('CB3 Bar'!$F$2:$F$300,MATCH(A53,'CB3 Bar'!$A$2:$A$300,0)),0)</f>
        <v>0</v>
      </c>
      <c r="O53" s="9">
        <f>IFERROR(INDEX('Spirits Room'!$F$2:$F$300,MATCH(A53,'Spirits Room'!$A$2:$A$300,0)),0)</f>
        <v>0</v>
      </c>
      <c r="P53" s="9">
        <f>IFERROR(INDEX('White Wine Fridge'!$F$2:$F$300,MATCH(A53,'White Wine Fridge'!$A$2:$A$300,0)),0)</f>
        <v>0</v>
      </c>
      <c r="Q53" s="9">
        <f>IFERROR(INDEX('Lower Keg'!$F$2:$F$300,MATCH(A53,'Lower Keg'!$A$2:$A$300,0)),0)</f>
        <v>0</v>
      </c>
      <c r="R53" s="9">
        <f>IFERROR(INDEX('Botanical Storeroom'!$F$2:$F$300,MATCH(A53,'Botanical Storeroom'!$A$2:$A$300,0)),0)</f>
        <v>0</v>
      </c>
      <c r="S53" s="9">
        <f>IFERROR(INDEX('Botanical Bar'!$F$2:$F$300,MATCH(A53,'Botanical Bar'!$A$2:$A$300,0)),0)</f>
        <v>0</v>
      </c>
      <c r="T53" s="9">
        <f>IFERROR(INDEX('Loading Dock Fridge'!$F$2:$F$300,MATCH(A53,'Loading Dock Fridge'!$A$2:$A$300,0)),0)</f>
        <v>0</v>
      </c>
      <c r="U53" s="9">
        <f>IFERROR(INDEX('Postmix Loading Dock'!$F$2:$F$300,MATCH(A53,'Postmix Loading Dock'!$A$2:$A$300,0)),0)</f>
        <v>0</v>
      </c>
      <c r="V53" s="9">
        <f>IFERROR(INDEX('Postmix Lower Keg'!$F$2:$F$300,MATCH(A53,'Postmix Lower Keg'!$A$2:$A$300,0)),0)</f>
        <v>0</v>
      </c>
      <c r="W53" s="10">
        <f>IFERROR(INDEX('Postmix TWR'!$F$2:$F$300,MATCH(A53,'Postmix TWR'!$A$2:$A$300,0)),0)</f>
        <v>0</v>
      </c>
    </row>
    <row r="54" spans="1:23" x14ac:dyDescent="0.35">
      <c r="A54" s="8">
        <v>69502</v>
      </c>
      <c r="B54" s="9" t="s">
        <v>79</v>
      </c>
      <c r="C54" s="9" t="s">
        <v>54</v>
      </c>
      <c r="D54" s="9" t="s">
        <v>89</v>
      </c>
      <c r="E54" s="17">
        <v>24</v>
      </c>
      <c r="F54" s="23">
        <f t="shared" si="1"/>
        <v>0</v>
      </c>
      <c r="G54" s="9">
        <f>IFERROR(INDEX('Juice Fridge'!$F$2:$F$300,MATCH(A54,'Juice Fridge'!$A$2:$A$300,0)),0)</f>
        <v>0</v>
      </c>
      <c r="H54" s="9">
        <f>IFERROR(INDEX('Upper Keg'!$F$2:$F$300,MATCH(A54,'Upper Keg'!$A$2:$A$300,0)),0)</f>
        <v>0</v>
      </c>
      <c r="I54" s="9">
        <f>IFERROR(INDEX('Astral Bar'!$F$2:$F$300,MATCH(A54,'Astral Bar'!$A$2:$A$300,0)),0)</f>
        <v>0</v>
      </c>
      <c r="J54" s="9">
        <f>IFERROR(INDEX('GB1 Bar'!$F$2:$F$300,MATCH(A54,'GB1 Bar'!$A$2:$A$300,0)),0)</f>
        <v>0</v>
      </c>
      <c r="K54" s="9">
        <f>IFERROR(INDEX('GB2 Bar'!$F$2:$F$300,MATCH(A54,'GB2 Bar'!$A$2:$A$300,0)),0)</f>
        <v>0</v>
      </c>
      <c r="L54" s="9">
        <f>IFERROR(INDEX('CB1 Bar'!$F$2:$F$300,MATCH(A54,'CB1 Bar'!$A$2:$A$300,0)),0)</f>
        <v>0</v>
      </c>
      <c r="M54" s="9">
        <f>IFERROR(INDEX('CB2 Bar'!$F$2:$F$300,MATCH(A54,'CB2 Bar'!$A$2:$A$300,0)),0)</f>
        <v>0</v>
      </c>
      <c r="N54" s="9">
        <f>IFERROR(INDEX('CB3 Bar'!$F$2:$F$300,MATCH(A54,'CB3 Bar'!$A$2:$A$300,0)),0)</f>
        <v>0</v>
      </c>
      <c r="O54" s="9">
        <f>IFERROR(INDEX('Spirits Room'!$F$2:$F$300,MATCH(A54,'Spirits Room'!$A$2:$A$300,0)),0)</f>
        <v>0</v>
      </c>
      <c r="P54" s="9">
        <f>IFERROR(INDEX('White Wine Fridge'!$F$2:$F$300,MATCH(A54,'White Wine Fridge'!$A$2:$A$300,0)),0)</f>
        <v>0</v>
      </c>
      <c r="Q54" s="9">
        <f>IFERROR(INDEX('Lower Keg'!$F$2:$F$300,MATCH(A54,'Lower Keg'!$A$2:$A$300,0)),0)</f>
        <v>0</v>
      </c>
      <c r="R54" s="9">
        <f>IFERROR(INDEX('Botanical Storeroom'!$F$2:$F$300,MATCH(A54,'Botanical Storeroom'!$A$2:$A$300,0)),0)</f>
        <v>0</v>
      </c>
      <c r="S54" s="9">
        <f>IFERROR(INDEX('Botanical Bar'!$F$2:$F$300,MATCH(A54,'Botanical Bar'!$A$2:$A$300,0)),0)</f>
        <v>0</v>
      </c>
      <c r="T54" s="9">
        <f>IFERROR(INDEX('Loading Dock Fridge'!$F$2:$F$300,MATCH(A54,'Loading Dock Fridge'!$A$2:$A$300,0)),0)</f>
        <v>0</v>
      </c>
      <c r="U54" s="9">
        <f>IFERROR(INDEX('Postmix Loading Dock'!$F$2:$F$300,MATCH(A54,'Postmix Loading Dock'!$A$2:$A$300,0)),0)</f>
        <v>0</v>
      </c>
      <c r="V54" s="9">
        <f>IFERROR(INDEX('Postmix Lower Keg'!$F$2:$F$300,MATCH(A54,'Postmix Lower Keg'!$A$2:$A$300,0)),0)</f>
        <v>0</v>
      </c>
      <c r="W54" s="10">
        <f>IFERROR(INDEX('Postmix TWR'!$F$2:$F$300,MATCH(A54,'Postmix TWR'!$A$2:$A$300,0)),0)</f>
        <v>0</v>
      </c>
    </row>
    <row r="55" spans="1:23" x14ac:dyDescent="0.35">
      <c r="A55" s="8">
        <v>69509</v>
      </c>
      <c r="B55" s="9" t="s">
        <v>79</v>
      </c>
      <c r="C55" s="9" t="s">
        <v>54</v>
      </c>
      <c r="D55" s="9" t="s">
        <v>90</v>
      </c>
      <c r="E55" s="17">
        <v>24</v>
      </c>
      <c r="F55" s="23">
        <f t="shared" si="1"/>
        <v>0</v>
      </c>
      <c r="G55" s="9">
        <f>IFERROR(INDEX('Juice Fridge'!$F$2:$F$300,MATCH(A55,'Juice Fridge'!$A$2:$A$300,0)),0)</f>
        <v>0</v>
      </c>
      <c r="H55" s="9">
        <f>IFERROR(INDEX('Upper Keg'!$F$2:$F$300,MATCH(A55,'Upper Keg'!$A$2:$A$300,0)),0)</f>
        <v>0</v>
      </c>
      <c r="I55" s="9">
        <f>IFERROR(INDEX('Astral Bar'!$F$2:$F$300,MATCH(A55,'Astral Bar'!$A$2:$A$300,0)),0)</f>
        <v>0</v>
      </c>
      <c r="J55" s="9">
        <f>IFERROR(INDEX('GB1 Bar'!$F$2:$F$300,MATCH(A55,'GB1 Bar'!$A$2:$A$300,0)),0)</f>
        <v>0</v>
      </c>
      <c r="K55" s="9">
        <f>IFERROR(INDEX('GB2 Bar'!$F$2:$F$300,MATCH(A55,'GB2 Bar'!$A$2:$A$300,0)),0)</f>
        <v>0</v>
      </c>
      <c r="L55" s="9">
        <f>IFERROR(INDEX('CB1 Bar'!$F$2:$F$300,MATCH(A55,'CB1 Bar'!$A$2:$A$300,0)),0)</f>
        <v>0</v>
      </c>
      <c r="M55" s="9">
        <f>IFERROR(INDEX('CB2 Bar'!$F$2:$F$300,MATCH(A55,'CB2 Bar'!$A$2:$A$300,0)),0)</f>
        <v>0</v>
      </c>
      <c r="N55" s="9">
        <f>IFERROR(INDEX('CB3 Bar'!$F$2:$F$300,MATCH(A55,'CB3 Bar'!$A$2:$A$300,0)),0)</f>
        <v>0</v>
      </c>
      <c r="O55" s="9">
        <f>IFERROR(INDEX('Spirits Room'!$F$2:$F$300,MATCH(A55,'Spirits Room'!$A$2:$A$300,0)),0)</f>
        <v>0</v>
      </c>
      <c r="P55" s="9">
        <f>IFERROR(INDEX('White Wine Fridge'!$F$2:$F$300,MATCH(A55,'White Wine Fridge'!$A$2:$A$300,0)),0)</f>
        <v>0</v>
      </c>
      <c r="Q55" s="9">
        <f>IFERROR(INDEX('Lower Keg'!$F$2:$F$300,MATCH(A55,'Lower Keg'!$A$2:$A$300,0)),0)</f>
        <v>0</v>
      </c>
      <c r="R55" s="9">
        <f>IFERROR(INDEX('Botanical Storeroom'!$F$2:$F$300,MATCH(A55,'Botanical Storeroom'!$A$2:$A$300,0)),0)</f>
        <v>0</v>
      </c>
      <c r="S55" s="9">
        <f>IFERROR(INDEX('Botanical Bar'!$F$2:$F$300,MATCH(A55,'Botanical Bar'!$A$2:$A$300,0)),0)</f>
        <v>0</v>
      </c>
      <c r="T55" s="9">
        <f>IFERROR(INDEX('Loading Dock Fridge'!$F$2:$F$300,MATCH(A55,'Loading Dock Fridge'!$A$2:$A$300,0)),0)</f>
        <v>0</v>
      </c>
      <c r="U55" s="9">
        <f>IFERROR(INDEX('Postmix Loading Dock'!$F$2:$F$300,MATCH(A55,'Postmix Loading Dock'!$A$2:$A$300,0)),0)</f>
        <v>0</v>
      </c>
      <c r="V55" s="9">
        <f>IFERROR(INDEX('Postmix Lower Keg'!$F$2:$F$300,MATCH(A55,'Postmix Lower Keg'!$A$2:$A$300,0)),0)</f>
        <v>0</v>
      </c>
      <c r="W55" s="10">
        <f>IFERROR(INDEX('Postmix TWR'!$F$2:$F$300,MATCH(A55,'Postmix TWR'!$A$2:$A$300,0)),0)</f>
        <v>0</v>
      </c>
    </row>
    <row r="56" spans="1:23" x14ac:dyDescent="0.35">
      <c r="A56" s="8">
        <v>69822</v>
      </c>
      <c r="B56" s="9" t="s">
        <v>79</v>
      </c>
      <c r="C56" s="9" t="s">
        <v>54</v>
      </c>
      <c r="D56" s="9" t="s">
        <v>91</v>
      </c>
      <c r="E56" s="17">
        <v>24</v>
      </c>
      <c r="F56" s="23">
        <f t="shared" si="1"/>
        <v>0</v>
      </c>
      <c r="G56" s="9">
        <f>IFERROR(INDEX('Juice Fridge'!$F$2:$F$300,MATCH(A56,'Juice Fridge'!$A$2:$A$300,0)),0)</f>
        <v>0</v>
      </c>
      <c r="H56" s="9">
        <f>IFERROR(INDEX('Upper Keg'!$F$2:$F$300,MATCH(A56,'Upper Keg'!$A$2:$A$300,0)),0)</f>
        <v>0</v>
      </c>
      <c r="I56" s="9">
        <f>IFERROR(INDEX('Astral Bar'!$F$2:$F$300,MATCH(A56,'Astral Bar'!$A$2:$A$300,0)),0)</f>
        <v>0</v>
      </c>
      <c r="J56" s="9">
        <f>IFERROR(INDEX('GB1 Bar'!$F$2:$F$300,MATCH(A56,'GB1 Bar'!$A$2:$A$300,0)),0)</f>
        <v>0</v>
      </c>
      <c r="K56" s="9">
        <f>IFERROR(INDEX('GB2 Bar'!$F$2:$F$300,MATCH(A56,'GB2 Bar'!$A$2:$A$300,0)),0)</f>
        <v>0</v>
      </c>
      <c r="L56" s="9">
        <f>IFERROR(INDEX('CB1 Bar'!$F$2:$F$300,MATCH(A56,'CB1 Bar'!$A$2:$A$300,0)),0)</f>
        <v>0</v>
      </c>
      <c r="M56" s="9">
        <f>IFERROR(INDEX('CB2 Bar'!$F$2:$F$300,MATCH(A56,'CB2 Bar'!$A$2:$A$300,0)),0)</f>
        <v>0</v>
      </c>
      <c r="N56" s="9">
        <f>IFERROR(INDEX('CB3 Bar'!$F$2:$F$300,MATCH(A56,'CB3 Bar'!$A$2:$A$300,0)),0)</f>
        <v>0</v>
      </c>
      <c r="O56" s="9">
        <f>IFERROR(INDEX('Spirits Room'!$F$2:$F$300,MATCH(A56,'Spirits Room'!$A$2:$A$300,0)),0)</f>
        <v>0</v>
      </c>
      <c r="P56" s="9">
        <f>IFERROR(INDEX('White Wine Fridge'!$F$2:$F$300,MATCH(A56,'White Wine Fridge'!$A$2:$A$300,0)),0)</f>
        <v>0</v>
      </c>
      <c r="Q56" s="9">
        <f>IFERROR(INDEX('Lower Keg'!$F$2:$F$300,MATCH(A56,'Lower Keg'!$A$2:$A$300,0)),0)</f>
        <v>0</v>
      </c>
      <c r="R56" s="9">
        <f>IFERROR(INDEX('Botanical Storeroom'!$F$2:$F$300,MATCH(A56,'Botanical Storeroom'!$A$2:$A$300,0)),0)</f>
        <v>0</v>
      </c>
      <c r="S56" s="9">
        <f>IFERROR(INDEX('Botanical Bar'!$F$2:$F$300,MATCH(A56,'Botanical Bar'!$A$2:$A$300,0)),0)</f>
        <v>0</v>
      </c>
      <c r="T56" s="9">
        <f>IFERROR(INDEX('Loading Dock Fridge'!$F$2:$F$300,MATCH(A56,'Loading Dock Fridge'!$A$2:$A$300,0)),0)</f>
        <v>0</v>
      </c>
      <c r="U56" s="9">
        <f>IFERROR(INDEX('Postmix Loading Dock'!$F$2:$F$300,MATCH(A56,'Postmix Loading Dock'!$A$2:$A$300,0)),0)</f>
        <v>0</v>
      </c>
      <c r="V56" s="9">
        <f>IFERROR(INDEX('Postmix Lower Keg'!$F$2:$F$300,MATCH(A56,'Postmix Lower Keg'!$A$2:$A$300,0)),0)</f>
        <v>0</v>
      </c>
      <c r="W56" s="10">
        <f>IFERROR(INDEX('Postmix TWR'!$F$2:$F$300,MATCH(A56,'Postmix TWR'!$A$2:$A$300,0)),0)</f>
        <v>0</v>
      </c>
    </row>
    <row r="57" spans="1:23" x14ac:dyDescent="0.35">
      <c r="A57" s="8">
        <v>64906</v>
      </c>
      <c r="B57" s="9" t="s">
        <v>92</v>
      </c>
      <c r="C57" s="9" t="s">
        <v>54</v>
      </c>
      <c r="D57" s="9" t="s">
        <v>93</v>
      </c>
      <c r="E57" s="17">
        <v>6</v>
      </c>
      <c r="F57" s="23">
        <f t="shared" si="1"/>
        <v>0</v>
      </c>
      <c r="G57" s="9">
        <f>IFERROR(INDEX('Juice Fridge'!$F$2:$F$300,MATCH(A57,'Juice Fridge'!$A$2:$A$300,0)),0)</f>
        <v>0</v>
      </c>
      <c r="H57" s="9">
        <f>IFERROR(INDEX('Upper Keg'!$F$2:$F$300,MATCH(A57,'Upper Keg'!$A$2:$A$300,0)),0)</f>
        <v>0</v>
      </c>
      <c r="I57" s="9">
        <f>IFERROR(INDEX('Astral Bar'!$F$2:$F$300,MATCH(A57,'Astral Bar'!$A$2:$A$300,0)),0)</f>
        <v>0</v>
      </c>
      <c r="J57" s="9">
        <f>IFERROR(INDEX('GB1 Bar'!$F$2:$F$300,MATCH(A57,'GB1 Bar'!$A$2:$A$300,0)),0)</f>
        <v>0</v>
      </c>
      <c r="K57" s="9">
        <f>IFERROR(INDEX('GB2 Bar'!$F$2:$F$300,MATCH(A57,'GB2 Bar'!$A$2:$A$300,0)),0)</f>
        <v>0</v>
      </c>
      <c r="L57" s="9">
        <f>IFERROR(INDEX('CB1 Bar'!$F$2:$F$300,MATCH(A57,'CB1 Bar'!$A$2:$A$300,0)),0)</f>
        <v>0</v>
      </c>
      <c r="M57" s="9">
        <f>IFERROR(INDEX('CB2 Bar'!$F$2:$F$300,MATCH(A57,'CB2 Bar'!$A$2:$A$300,0)),0)</f>
        <v>0</v>
      </c>
      <c r="N57" s="9">
        <f>IFERROR(INDEX('CB3 Bar'!$F$2:$F$300,MATCH(A57,'CB3 Bar'!$A$2:$A$300,0)),0)</f>
        <v>0</v>
      </c>
      <c r="O57" s="9">
        <f>IFERROR(INDEX('Spirits Room'!$F$2:$F$300,MATCH(A57,'Spirits Room'!$A$2:$A$300,0)),0)</f>
        <v>0</v>
      </c>
      <c r="P57" s="9">
        <f>IFERROR(INDEX('White Wine Fridge'!$F$2:$F$300,MATCH(A57,'White Wine Fridge'!$A$2:$A$300,0)),0)</f>
        <v>0</v>
      </c>
      <c r="Q57" s="9">
        <f>IFERROR(INDEX('Lower Keg'!$F$2:$F$300,MATCH(A57,'Lower Keg'!$A$2:$A$300,0)),0)</f>
        <v>0</v>
      </c>
      <c r="R57" s="9">
        <f>IFERROR(INDEX('Botanical Storeroom'!$F$2:$F$300,MATCH(A57,'Botanical Storeroom'!$A$2:$A$300,0)),0)</f>
        <v>0</v>
      </c>
      <c r="S57" s="9">
        <f>IFERROR(INDEX('Botanical Bar'!$F$2:$F$300,MATCH(A57,'Botanical Bar'!$A$2:$A$300,0)),0)</f>
        <v>0</v>
      </c>
      <c r="T57" s="9">
        <f>IFERROR(INDEX('Loading Dock Fridge'!$F$2:$F$300,MATCH(A57,'Loading Dock Fridge'!$A$2:$A$300,0)),0)</f>
        <v>0</v>
      </c>
      <c r="U57" s="9">
        <f>IFERROR(INDEX('Postmix Loading Dock'!$F$2:$F$300,MATCH(A57,'Postmix Loading Dock'!$A$2:$A$300,0)),0)</f>
        <v>0</v>
      </c>
      <c r="V57" s="9">
        <f>IFERROR(INDEX('Postmix Lower Keg'!$F$2:$F$300,MATCH(A57,'Postmix Lower Keg'!$A$2:$A$300,0)),0)</f>
        <v>0</v>
      </c>
      <c r="W57" s="10">
        <f>IFERROR(INDEX('Postmix TWR'!$F$2:$F$300,MATCH(A57,'Postmix TWR'!$A$2:$A$300,0)),0)</f>
        <v>0</v>
      </c>
    </row>
    <row r="58" spans="1:23" x14ac:dyDescent="0.35">
      <c r="A58" s="8">
        <v>12813</v>
      </c>
      <c r="B58" s="9" t="s">
        <v>92</v>
      </c>
      <c r="C58" s="9" t="s">
        <v>54</v>
      </c>
      <c r="D58" s="9" t="s">
        <v>94</v>
      </c>
      <c r="E58" s="17">
        <v>24</v>
      </c>
      <c r="F58" s="23">
        <f t="shared" si="1"/>
        <v>0</v>
      </c>
      <c r="G58" s="9">
        <f>IFERROR(INDEX('Juice Fridge'!$F$2:$F$300,MATCH(A58,'Juice Fridge'!$A$2:$A$300,0)),0)</f>
        <v>0</v>
      </c>
      <c r="H58" s="9">
        <f>IFERROR(INDEX('Upper Keg'!$F$2:$F$300,MATCH(A58,'Upper Keg'!$A$2:$A$300,0)),0)</f>
        <v>0</v>
      </c>
      <c r="I58" s="9">
        <f>IFERROR(INDEX('Astral Bar'!$F$2:$F$300,MATCH(A58,'Astral Bar'!$A$2:$A$300,0)),0)</f>
        <v>0</v>
      </c>
      <c r="J58" s="9">
        <f>IFERROR(INDEX('GB1 Bar'!$F$2:$F$300,MATCH(A58,'GB1 Bar'!$A$2:$A$300,0)),0)</f>
        <v>0</v>
      </c>
      <c r="K58" s="9">
        <f>IFERROR(INDEX('GB2 Bar'!$F$2:$F$300,MATCH(A58,'GB2 Bar'!$A$2:$A$300,0)),0)</f>
        <v>0</v>
      </c>
      <c r="L58" s="9">
        <f>IFERROR(INDEX('CB1 Bar'!$F$2:$F$300,MATCH(A58,'CB1 Bar'!$A$2:$A$300,0)),0)</f>
        <v>0</v>
      </c>
      <c r="M58" s="9">
        <f>IFERROR(INDEX('CB2 Bar'!$F$2:$F$300,MATCH(A58,'CB2 Bar'!$A$2:$A$300,0)),0)</f>
        <v>0</v>
      </c>
      <c r="N58" s="9">
        <f>IFERROR(INDEX('CB3 Bar'!$F$2:$F$300,MATCH(A58,'CB3 Bar'!$A$2:$A$300,0)),0)</f>
        <v>0</v>
      </c>
      <c r="O58" s="9">
        <f>IFERROR(INDEX('Spirits Room'!$F$2:$F$300,MATCH(A58,'Spirits Room'!$A$2:$A$300,0)),0)</f>
        <v>0</v>
      </c>
      <c r="P58" s="9">
        <f>IFERROR(INDEX('White Wine Fridge'!$F$2:$F$300,MATCH(A58,'White Wine Fridge'!$A$2:$A$300,0)),0)</f>
        <v>0</v>
      </c>
      <c r="Q58" s="9">
        <f>IFERROR(INDEX('Lower Keg'!$F$2:$F$300,MATCH(A58,'Lower Keg'!$A$2:$A$300,0)),0)</f>
        <v>0</v>
      </c>
      <c r="R58" s="9">
        <f>IFERROR(INDEX('Botanical Storeroom'!$F$2:$F$300,MATCH(A58,'Botanical Storeroom'!$A$2:$A$300,0)),0)</f>
        <v>0</v>
      </c>
      <c r="S58" s="9">
        <f>IFERROR(INDEX('Botanical Bar'!$F$2:$F$300,MATCH(A58,'Botanical Bar'!$A$2:$A$300,0)),0)</f>
        <v>0</v>
      </c>
      <c r="T58" s="9">
        <f>IFERROR(INDEX('Loading Dock Fridge'!$F$2:$F$300,MATCH(A58,'Loading Dock Fridge'!$A$2:$A$300,0)),0)</f>
        <v>0</v>
      </c>
      <c r="U58" s="9">
        <f>IFERROR(INDEX('Postmix Loading Dock'!$F$2:$F$300,MATCH(A58,'Postmix Loading Dock'!$A$2:$A$300,0)),0)</f>
        <v>0</v>
      </c>
      <c r="V58" s="9">
        <f>IFERROR(INDEX('Postmix Lower Keg'!$F$2:$F$300,MATCH(A58,'Postmix Lower Keg'!$A$2:$A$300,0)),0)</f>
        <v>0</v>
      </c>
      <c r="W58" s="10">
        <f>IFERROR(INDEX('Postmix TWR'!$F$2:$F$300,MATCH(A58,'Postmix TWR'!$A$2:$A$300,0)),0)</f>
        <v>0</v>
      </c>
    </row>
    <row r="59" spans="1:23" x14ac:dyDescent="0.35">
      <c r="A59" s="8">
        <v>20255</v>
      </c>
      <c r="B59" s="9" t="s">
        <v>92</v>
      </c>
      <c r="C59" s="9" t="s">
        <v>54</v>
      </c>
      <c r="D59" s="9" t="s">
        <v>95</v>
      </c>
      <c r="E59" s="17">
        <v>24</v>
      </c>
      <c r="F59" s="23">
        <f t="shared" si="1"/>
        <v>0</v>
      </c>
      <c r="G59" s="9">
        <f>IFERROR(INDEX('Juice Fridge'!$F$2:$F$300,MATCH(A59,'Juice Fridge'!$A$2:$A$300,0)),0)</f>
        <v>0</v>
      </c>
      <c r="H59" s="9">
        <f>IFERROR(INDEX('Upper Keg'!$F$2:$F$300,MATCH(A59,'Upper Keg'!$A$2:$A$300,0)),0)</f>
        <v>0</v>
      </c>
      <c r="I59" s="9">
        <f>IFERROR(INDEX('Astral Bar'!$F$2:$F$300,MATCH(A59,'Astral Bar'!$A$2:$A$300,0)),0)</f>
        <v>0</v>
      </c>
      <c r="J59" s="9">
        <f>IFERROR(INDEX('GB1 Bar'!$F$2:$F$300,MATCH(A59,'GB1 Bar'!$A$2:$A$300,0)),0)</f>
        <v>0</v>
      </c>
      <c r="K59" s="9">
        <f>IFERROR(INDEX('GB2 Bar'!$F$2:$F$300,MATCH(A59,'GB2 Bar'!$A$2:$A$300,0)),0)</f>
        <v>0</v>
      </c>
      <c r="L59" s="9">
        <f>IFERROR(INDEX('CB1 Bar'!$F$2:$F$300,MATCH(A59,'CB1 Bar'!$A$2:$A$300,0)),0)</f>
        <v>0</v>
      </c>
      <c r="M59" s="9">
        <f>IFERROR(INDEX('CB2 Bar'!$F$2:$F$300,MATCH(A59,'CB2 Bar'!$A$2:$A$300,0)),0)</f>
        <v>0</v>
      </c>
      <c r="N59" s="9">
        <f>IFERROR(INDEX('CB3 Bar'!$F$2:$F$300,MATCH(A59,'CB3 Bar'!$A$2:$A$300,0)),0)</f>
        <v>0</v>
      </c>
      <c r="O59" s="9">
        <f>IFERROR(INDEX('Spirits Room'!$F$2:$F$300,MATCH(A59,'Spirits Room'!$A$2:$A$300,0)),0)</f>
        <v>0</v>
      </c>
      <c r="P59" s="9">
        <f>IFERROR(INDEX('White Wine Fridge'!$F$2:$F$300,MATCH(A59,'White Wine Fridge'!$A$2:$A$300,0)),0)</f>
        <v>0</v>
      </c>
      <c r="Q59" s="9">
        <f>IFERROR(INDEX('Lower Keg'!$F$2:$F$300,MATCH(A59,'Lower Keg'!$A$2:$A$300,0)),0)</f>
        <v>0</v>
      </c>
      <c r="R59" s="9">
        <f>IFERROR(INDEX('Botanical Storeroom'!$F$2:$F$300,MATCH(A59,'Botanical Storeroom'!$A$2:$A$300,0)),0)</f>
        <v>0</v>
      </c>
      <c r="S59" s="9">
        <f>IFERROR(INDEX('Botanical Bar'!$F$2:$F$300,MATCH(A59,'Botanical Bar'!$A$2:$A$300,0)),0)</f>
        <v>0</v>
      </c>
      <c r="T59" s="9">
        <f>IFERROR(INDEX('Loading Dock Fridge'!$F$2:$F$300,MATCH(A59,'Loading Dock Fridge'!$A$2:$A$300,0)),0)</f>
        <v>0</v>
      </c>
      <c r="U59" s="9">
        <f>IFERROR(INDEX('Postmix Loading Dock'!$F$2:$F$300,MATCH(A59,'Postmix Loading Dock'!$A$2:$A$300,0)),0)</f>
        <v>0</v>
      </c>
      <c r="V59" s="9">
        <f>IFERROR(INDEX('Postmix Lower Keg'!$F$2:$F$300,MATCH(A59,'Postmix Lower Keg'!$A$2:$A$300,0)),0)</f>
        <v>0</v>
      </c>
      <c r="W59" s="10">
        <f>IFERROR(INDEX('Postmix TWR'!$F$2:$F$300,MATCH(A59,'Postmix TWR'!$A$2:$A$300,0)),0)</f>
        <v>0</v>
      </c>
    </row>
    <row r="60" spans="1:23" x14ac:dyDescent="0.35">
      <c r="A60" s="8">
        <v>24114</v>
      </c>
      <c r="B60" s="9" t="s">
        <v>92</v>
      </c>
      <c r="C60" s="9" t="s">
        <v>54</v>
      </c>
      <c r="D60" s="9" t="s">
        <v>96</v>
      </c>
      <c r="E60" s="17">
        <v>24</v>
      </c>
      <c r="F60" s="23">
        <f t="shared" si="1"/>
        <v>0</v>
      </c>
      <c r="G60" s="9">
        <f>IFERROR(INDEX('Juice Fridge'!$F$2:$F$300,MATCH(A60,'Juice Fridge'!$A$2:$A$300,0)),0)</f>
        <v>0</v>
      </c>
      <c r="H60" s="9">
        <f>IFERROR(INDEX('Upper Keg'!$F$2:$F$300,MATCH(A60,'Upper Keg'!$A$2:$A$300,0)),0)</f>
        <v>0</v>
      </c>
      <c r="I60" s="9">
        <f>IFERROR(INDEX('Astral Bar'!$F$2:$F$300,MATCH(A60,'Astral Bar'!$A$2:$A$300,0)),0)</f>
        <v>0</v>
      </c>
      <c r="J60" s="9">
        <f>IFERROR(INDEX('GB1 Bar'!$F$2:$F$300,MATCH(A60,'GB1 Bar'!$A$2:$A$300,0)),0)</f>
        <v>0</v>
      </c>
      <c r="K60" s="9">
        <f>IFERROR(INDEX('GB2 Bar'!$F$2:$F$300,MATCH(A60,'GB2 Bar'!$A$2:$A$300,0)),0)</f>
        <v>0</v>
      </c>
      <c r="L60" s="9">
        <f>IFERROR(INDEX('CB1 Bar'!$F$2:$F$300,MATCH(A60,'CB1 Bar'!$A$2:$A$300,0)),0)</f>
        <v>0</v>
      </c>
      <c r="M60" s="9">
        <f>IFERROR(INDEX('CB2 Bar'!$F$2:$F$300,MATCH(A60,'CB2 Bar'!$A$2:$A$300,0)),0)</f>
        <v>0</v>
      </c>
      <c r="N60" s="9">
        <f>IFERROR(INDEX('CB3 Bar'!$F$2:$F$300,MATCH(A60,'CB3 Bar'!$A$2:$A$300,0)),0)</f>
        <v>0</v>
      </c>
      <c r="O60" s="9">
        <f>IFERROR(INDEX('Spirits Room'!$F$2:$F$300,MATCH(A60,'Spirits Room'!$A$2:$A$300,0)),0)</f>
        <v>0</v>
      </c>
      <c r="P60" s="9">
        <f>IFERROR(INDEX('White Wine Fridge'!$F$2:$F$300,MATCH(A60,'White Wine Fridge'!$A$2:$A$300,0)),0)</f>
        <v>0</v>
      </c>
      <c r="Q60" s="9">
        <f>IFERROR(INDEX('Lower Keg'!$F$2:$F$300,MATCH(A60,'Lower Keg'!$A$2:$A$300,0)),0)</f>
        <v>0</v>
      </c>
      <c r="R60" s="9">
        <f>IFERROR(INDEX('Botanical Storeroom'!$F$2:$F$300,MATCH(A60,'Botanical Storeroom'!$A$2:$A$300,0)),0)</f>
        <v>0</v>
      </c>
      <c r="S60" s="9">
        <f>IFERROR(INDEX('Botanical Bar'!$F$2:$F$300,MATCH(A60,'Botanical Bar'!$A$2:$A$300,0)),0)</f>
        <v>0</v>
      </c>
      <c r="T60" s="9">
        <f>IFERROR(INDEX('Loading Dock Fridge'!$F$2:$F$300,MATCH(A60,'Loading Dock Fridge'!$A$2:$A$300,0)),0)</f>
        <v>0</v>
      </c>
      <c r="U60" s="9">
        <f>IFERROR(INDEX('Postmix Loading Dock'!$F$2:$F$300,MATCH(A60,'Postmix Loading Dock'!$A$2:$A$300,0)),0)</f>
        <v>0</v>
      </c>
      <c r="V60" s="9">
        <f>IFERROR(INDEX('Postmix Lower Keg'!$F$2:$F$300,MATCH(A60,'Postmix Lower Keg'!$A$2:$A$300,0)),0)</f>
        <v>0</v>
      </c>
      <c r="W60" s="10">
        <f>IFERROR(INDEX('Postmix TWR'!$F$2:$F$300,MATCH(A60,'Postmix TWR'!$A$2:$A$300,0)),0)</f>
        <v>0</v>
      </c>
    </row>
    <row r="61" spans="1:23" x14ac:dyDescent="0.35">
      <c r="A61" s="8">
        <v>33783</v>
      </c>
      <c r="B61" s="9" t="s">
        <v>92</v>
      </c>
      <c r="C61" s="9" t="s">
        <v>54</v>
      </c>
      <c r="D61" s="9" t="s">
        <v>97</v>
      </c>
      <c r="E61" s="17">
        <v>24</v>
      </c>
      <c r="F61" s="23">
        <f t="shared" si="1"/>
        <v>0</v>
      </c>
      <c r="G61" s="9">
        <f>IFERROR(INDEX('Juice Fridge'!$F$2:$F$300,MATCH(A61,'Juice Fridge'!$A$2:$A$300,0)),0)</f>
        <v>0</v>
      </c>
      <c r="H61" s="9">
        <f>IFERROR(INDEX('Upper Keg'!$F$2:$F$300,MATCH(A61,'Upper Keg'!$A$2:$A$300,0)),0)</f>
        <v>0</v>
      </c>
      <c r="I61" s="9">
        <f>IFERROR(INDEX('Astral Bar'!$F$2:$F$300,MATCH(A61,'Astral Bar'!$A$2:$A$300,0)),0)</f>
        <v>0</v>
      </c>
      <c r="J61" s="9">
        <f>IFERROR(INDEX('GB1 Bar'!$F$2:$F$300,MATCH(A61,'GB1 Bar'!$A$2:$A$300,0)),0)</f>
        <v>0</v>
      </c>
      <c r="K61" s="9">
        <f>IFERROR(INDEX('GB2 Bar'!$F$2:$F$300,MATCH(A61,'GB2 Bar'!$A$2:$A$300,0)),0)</f>
        <v>0</v>
      </c>
      <c r="L61" s="9">
        <f>IFERROR(INDEX('CB1 Bar'!$F$2:$F$300,MATCH(A61,'CB1 Bar'!$A$2:$A$300,0)),0)</f>
        <v>0</v>
      </c>
      <c r="M61" s="9">
        <f>IFERROR(INDEX('CB2 Bar'!$F$2:$F$300,MATCH(A61,'CB2 Bar'!$A$2:$A$300,0)),0)</f>
        <v>0</v>
      </c>
      <c r="N61" s="9">
        <f>IFERROR(INDEX('CB3 Bar'!$F$2:$F$300,MATCH(A61,'CB3 Bar'!$A$2:$A$300,0)),0)</f>
        <v>0</v>
      </c>
      <c r="O61" s="9">
        <f>IFERROR(INDEX('Spirits Room'!$F$2:$F$300,MATCH(A61,'Spirits Room'!$A$2:$A$300,0)),0)</f>
        <v>0</v>
      </c>
      <c r="P61" s="9">
        <f>IFERROR(INDEX('White Wine Fridge'!$F$2:$F$300,MATCH(A61,'White Wine Fridge'!$A$2:$A$300,0)),0)</f>
        <v>0</v>
      </c>
      <c r="Q61" s="9">
        <f>IFERROR(INDEX('Lower Keg'!$F$2:$F$300,MATCH(A61,'Lower Keg'!$A$2:$A$300,0)),0)</f>
        <v>0</v>
      </c>
      <c r="R61" s="9">
        <f>IFERROR(INDEX('Botanical Storeroom'!$F$2:$F$300,MATCH(A61,'Botanical Storeroom'!$A$2:$A$300,0)),0)</f>
        <v>0</v>
      </c>
      <c r="S61" s="9">
        <f>IFERROR(INDEX('Botanical Bar'!$F$2:$F$300,MATCH(A61,'Botanical Bar'!$A$2:$A$300,0)),0)</f>
        <v>0</v>
      </c>
      <c r="T61" s="9">
        <f>IFERROR(INDEX('Loading Dock Fridge'!$F$2:$F$300,MATCH(A61,'Loading Dock Fridge'!$A$2:$A$300,0)),0)</f>
        <v>0</v>
      </c>
      <c r="U61" s="9">
        <f>IFERROR(INDEX('Postmix Loading Dock'!$F$2:$F$300,MATCH(A61,'Postmix Loading Dock'!$A$2:$A$300,0)),0)</f>
        <v>0</v>
      </c>
      <c r="V61" s="9">
        <f>IFERROR(INDEX('Postmix Lower Keg'!$F$2:$F$300,MATCH(A61,'Postmix Lower Keg'!$A$2:$A$300,0)),0)</f>
        <v>0</v>
      </c>
      <c r="W61" s="10">
        <f>IFERROR(INDEX('Postmix TWR'!$F$2:$F$300,MATCH(A61,'Postmix TWR'!$A$2:$A$300,0)),0)</f>
        <v>0</v>
      </c>
    </row>
    <row r="62" spans="1:23" x14ac:dyDescent="0.35">
      <c r="A62" s="8">
        <v>48822</v>
      </c>
      <c r="B62" s="9" t="s">
        <v>92</v>
      </c>
      <c r="C62" s="9" t="s">
        <v>54</v>
      </c>
      <c r="D62" s="9" t="s">
        <v>98</v>
      </c>
      <c r="E62" s="17">
        <v>24</v>
      </c>
      <c r="F62" s="23">
        <f t="shared" si="1"/>
        <v>0</v>
      </c>
      <c r="G62" s="9">
        <f>IFERROR(INDEX('Juice Fridge'!$F$2:$F$300,MATCH(A62,'Juice Fridge'!$A$2:$A$300,0)),0)</f>
        <v>0</v>
      </c>
      <c r="H62" s="9">
        <f>IFERROR(INDEX('Upper Keg'!$F$2:$F$300,MATCH(A62,'Upper Keg'!$A$2:$A$300,0)),0)</f>
        <v>0</v>
      </c>
      <c r="I62" s="9">
        <f>IFERROR(INDEX('Astral Bar'!$F$2:$F$300,MATCH(A62,'Astral Bar'!$A$2:$A$300,0)),0)</f>
        <v>0</v>
      </c>
      <c r="J62" s="9">
        <f>IFERROR(INDEX('GB1 Bar'!$F$2:$F$300,MATCH(A62,'GB1 Bar'!$A$2:$A$300,0)),0)</f>
        <v>0</v>
      </c>
      <c r="K62" s="9">
        <f>IFERROR(INDEX('GB2 Bar'!$F$2:$F$300,MATCH(A62,'GB2 Bar'!$A$2:$A$300,0)),0)</f>
        <v>0</v>
      </c>
      <c r="L62" s="9">
        <f>IFERROR(INDEX('CB1 Bar'!$F$2:$F$300,MATCH(A62,'CB1 Bar'!$A$2:$A$300,0)),0)</f>
        <v>0</v>
      </c>
      <c r="M62" s="9">
        <f>IFERROR(INDEX('CB2 Bar'!$F$2:$F$300,MATCH(A62,'CB2 Bar'!$A$2:$A$300,0)),0)</f>
        <v>0</v>
      </c>
      <c r="N62" s="9">
        <f>IFERROR(INDEX('CB3 Bar'!$F$2:$F$300,MATCH(A62,'CB3 Bar'!$A$2:$A$300,0)),0)</f>
        <v>0</v>
      </c>
      <c r="O62" s="9">
        <f>IFERROR(INDEX('Spirits Room'!$F$2:$F$300,MATCH(A62,'Spirits Room'!$A$2:$A$300,0)),0)</f>
        <v>0</v>
      </c>
      <c r="P62" s="9">
        <f>IFERROR(INDEX('White Wine Fridge'!$F$2:$F$300,MATCH(A62,'White Wine Fridge'!$A$2:$A$300,0)),0)</f>
        <v>0</v>
      </c>
      <c r="Q62" s="9">
        <f>IFERROR(INDEX('Lower Keg'!$F$2:$F$300,MATCH(A62,'Lower Keg'!$A$2:$A$300,0)),0)</f>
        <v>0</v>
      </c>
      <c r="R62" s="9">
        <f>IFERROR(INDEX('Botanical Storeroom'!$F$2:$F$300,MATCH(A62,'Botanical Storeroom'!$A$2:$A$300,0)),0)</f>
        <v>0</v>
      </c>
      <c r="S62" s="9">
        <f>IFERROR(INDEX('Botanical Bar'!$F$2:$F$300,MATCH(A62,'Botanical Bar'!$A$2:$A$300,0)),0)</f>
        <v>0</v>
      </c>
      <c r="T62" s="9">
        <f>IFERROR(INDEX('Loading Dock Fridge'!$F$2:$F$300,MATCH(A62,'Loading Dock Fridge'!$A$2:$A$300,0)),0)</f>
        <v>0</v>
      </c>
      <c r="U62" s="9">
        <f>IFERROR(INDEX('Postmix Loading Dock'!$F$2:$F$300,MATCH(A62,'Postmix Loading Dock'!$A$2:$A$300,0)),0)</f>
        <v>0</v>
      </c>
      <c r="V62" s="9">
        <f>IFERROR(INDEX('Postmix Lower Keg'!$F$2:$F$300,MATCH(A62,'Postmix Lower Keg'!$A$2:$A$300,0)),0)</f>
        <v>0</v>
      </c>
      <c r="W62" s="10">
        <f>IFERROR(INDEX('Postmix TWR'!$F$2:$F$300,MATCH(A62,'Postmix TWR'!$A$2:$A$300,0)),0)</f>
        <v>0</v>
      </c>
    </row>
    <row r="63" spans="1:23" x14ac:dyDescent="0.35">
      <c r="A63" s="8">
        <v>69451</v>
      </c>
      <c r="B63" s="9" t="s">
        <v>99</v>
      </c>
      <c r="C63" s="9" t="s">
        <v>100</v>
      </c>
      <c r="D63" s="9" t="s">
        <v>101</v>
      </c>
      <c r="E63" s="17">
        <v>6</v>
      </c>
      <c r="F63" s="23">
        <f t="shared" si="1"/>
        <v>0</v>
      </c>
      <c r="G63" s="9">
        <f>IFERROR(INDEX('Juice Fridge'!$F$2:$F$300,MATCH(A63,'Juice Fridge'!$A$2:$A$300,0)),0)</f>
        <v>0</v>
      </c>
      <c r="H63" s="9">
        <f>IFERROR(INDEX('Upper Keg'!$F$2:$F$300,MATCH(A63,'Upper Keg'!$A$2:$A$300,0)),0)</f>
        <v>0</v>
      </c>
      <c r="I63" s="9">
        <f>IFERROR(INDEX('Astral Bar'!$F$2:$F$300,MATCH(A63,'Astral Bar'!$A$2:$A$300,0)),0)</f>
        <v>0</v>
      </c>
      <c r="J63" s="9">
        <f>IFERROR(INDEX('GB1 Bar'!$F$2:$F$300,MATCH(A63,'GB1 Bar'!$A$2:$A$300,0)),0)</f>
        <v>0</v>
      </c>
      <c r="K63" s="9">
        <f>IFERROR(INDEX('GB2 Bar'!$F$2:$F$300,MATCH(A63,'GB2 Bar'!$A$2:$A$300,0)),0)</f>
        <v>0</v>
      </c>
      <c r="L63" s="9">
        <f>IFERROR(INDEX('CB1 Bar'!$F$2:$F$300,MATCH(A63,'CB1 Bar'!$A$2:$A$300,0)),0)</f>
        <v>0</v>
      </c>
      <c r="M63" s="9">
        <f>IFERROR(INDEX('CB2 Bar'!$F$2:$F$300,MATCH(A63,'CB2 Bar'!$A$2:$A$300,0)),0)</f>
        <v>0</v>
      </c>
      <c r="N63" s="9">
        <f>IFERROR(INDEX('CB3 Bar'!$F$2:$F$300,MATCH(A63,'CB3 Bar'!$A$2:$A$300,0)),0)</f>
        <v>0</v>
      </c>
      <c r="O63" s="9">
        <f>IFERROR(INDEX('Spirits Room'!$F$2:$F$300,MATCH(A63,'Spirits Room'!$A$2:$A$300,0)),0)</f>
        <v>0</v>
      </c>
      <c r="P63" s="9">
        <f>IFERROR(INDEX('White Wine Fridge'!$F$2:$F$300,MATCH(A63,'White Wine Fridge'!$A$2:$A$300,0)),0)</f>
        <v>0</v>
      </c>
      <c r="Q63" s="9">
        <f>IFERROR(INDEX('Lower Keg'!$F$2:$F$300,MATCH(A63,'Lower Keg'!$A$2:$A$300,0)),0)</f>
        <v>0</v>
      </c>
      <c r="R63" s="9">
        <f>IFERROR(INDEX('Botanical Storeroom'!$F$2:$F$300,MATCH(A63,'Botanical Storeroom'!$A$2:$A$300,0)),0)</f>
        <v>0</v>
      </c>
      <c r="S63" s="9">
        <f>IFERROR(INDEX('Botanical Bar'!$F$2:$F$300,MATCH(A63,'Botanical Bar'!$A$2:$A$300,0)),0)</f>
        <v>0</v>
      </c>
      <c r="T63" s="9">
        <f>IFERROR(INDEX('Loading Dock Fridge'!$F$2:$F$300,MATCH(A63,'Loading Dock Fridge'!$A$2:$A$300,0)),0)</f>
        <v>0</v>
      </c>
      <c r="U63" s="9">
        <f>IFERROR(INDEX('Postmix Loading Dock'!$F$2:$F$300,MATCH(A63,'Postmix Loading Dock'!$A$2:$A$300,0)),0)</f>
        <v>0</v>
      </c>
      <c r="V63" s="9">
        <f>IFERROR(INDEX('Postmix Lower Keg'!$F$2:$F$300,MATCH(A63,'Postmix Lower Keg'!$A$2:$A$300,0)),0)</f>
        <v>0</v>
      </c>
      <c r="W63" s="10">
        <f>IFERROR(INDEX('Postmix TWR'!$F$2:$F$300,MATCH(A63,'Postmix TWR'!$A$2:$A$300,0)),0)</f>
        <v>0</v>
      </c>
    </row>
    <row r="64" spans="1:23" x14ac:dyDescent="0.35">
      <c r="A64" s="8">
        <v>55272</v>
      </c>
      <c r="B64" s="9" t="s">
        <v>99</v>
      </c>
      <c r="C64" s="9" t="s">
        <v>100</v>
      </c>
      <c r="D64" s="9" t="s">
        <v>102</v>
      </c>
      <c r="E64" s="17">
        <v>6</v>
      </c>
      <c r="F64" s="23">
        <f t="shared" si="1"/>
        <v>0</v>
      </c>
      <c r="G64" s="9">
        <f>IFERROR(INDEX('Juice Fridge'!$F$2:$F$300,MATCH(A64,'Juice Fridge'!$A$2:$A$300,0)),0)</f>
        <v>0</v>
      </c>
      <c r="H64" s="9">
        <f>IFERROR(INDEX('Upper Keg'!$F$2:$F$300,MATCH(A64,'Upper Keg'!$A$2:$A$300,0)),0)</f>
        <v>0</v>
      </c>
      <c r="I64" s="9">
        <f>IFERROR(INDEX('Astral Bar'!$F$2:$F$300,MATCH(A64,'Astral Bar'!$A$2:$A$300,0)),0)</f>
        <v>0</v>
      </c>
      <c r="J64" s="9">
        <f>IFERROR(INDEX('GB1 Bar'!$F$2:$F$300,MATCH(A64,'GB1 Bar'!$A$2:$A$300,0)),0)</f>
        <v>0</v>
      </c>
      <c r="K64" s="9">
        <f>IFERROR(INDEX('GB2 Bar'!$F$2:$F$300,MATCH(A64,'GB2 Bar'!$A$2:$A$300,0)),0)</f>
        <v>0</v>
      </c>
      <c r="L64" s="9">
        <f>IFERROR(INDEX('CB1 Bar'!$F$2:$F$300,MATCH(A64,'CB1 Bar'!$A$2:$A$300,0)),0)</f>
        <v>0</v>
      </c>
      <c r="M64" s="9">
        <f>IFERROR(INDEX('CB2 Bar'!$F$2:$F$300,MATCH(A64,'CB2 Bar'!$A$2:$A$300,0)),0)</f>
        <v>0</v>
      </c>
      <c r="N64" s="9">
        <f>IFERROR(INDEX('CB3 Bar'!$F$2:$F$300,MATCH(A64,'CB3 Bar'!$A$2:$A$300,0)),0)</f>
        <v>0</v>
      </c>
      <c r="O64" s="9">
        <f>IFERROR(INDEX('Spirits Room'!$F$2:$F$300,MATCH(A64,'Spirits Room'!$A$2:$A$300,0)),0)</f>
        <v>0</v>
      </c>
      <c r="P64" s="9">
        <f>IFERROR(INDEX('White Wine Fridge'!$F$2:$F$300,MATCH(A64,'White Wine Fridge'!$A$2:$A$300,0)),0)</f>
        <v>0</v>
      </c>
      <c r="Q64" s="9">
        <f>IFERROR(INDEX('Lower Keg'!$F$2:$F$300,MATCH(A64,'Lower Keg'!$A$2:$A$300,0)),0)</f>
        <v>0</v>
      </c>
      <c r="R64" s="9">
        <f>IFERROR(INDEX('Botanical Storeroom'!$F$2:$F$300,MATCH(A64,'Botanical Storeroom'!$A$2:$A$300,0)),0)</f>
        <v>0</v>
      </c>
      <c r="S64" s="9">
        <f>IFERROR(INDEX('Botanical Bar'!$F$2:$F$300,MATCH(A64,'Botanical Bar'!$A$2:$A$300,0)),0)</f>
        <v>0</v>
      </c>
      <c r="T64" s="9">
        <f>IFERROR(INDEX('Loading Dock Fridge'!$F$2:$F$300,MATCH(A64,'Loading Dock Fridge'!$A$2:$A$300,0)),0)</f>
        <v>0</v>
      </c>
      <c r="U64" s="9">
        <f>IFERROR(INDEX('Postmix Loading Dock'!$F$2:$F$300,MATCH(A64,'Postmix Loading Dock'!$A$2:$A$300,0)),0)</f>
        <v>0</v>
      </c>
      <c r="V64" s="9">
        <f>IFERROR(INDEX('Postmix Lower Keg'!$F$2:$F$300,MATCH(A64,'Postmix Lower Keg'!$A$2:$A$300,0)),0)</f>
        <v>0</v>
      </c>
      <c r="W64" s="10">
        <f>IFERROR(INDEX('Postmix TWR'!$F$2:$F$300,MATCH(A64,'Postmix TWR'!$A$2:$A$300,0)),0)</f>
        <v>0</v>
      </c>
    </row>
    <row r="65" spans="1:23" x14ac:dyDescent="0.35">
      <c r="A65" s="8">
        <v>56662</v>
      </c>
      <c r="B65" s="9" t="s">
        <v>99</v>
      </c>
      <c r="C65" s="9" t="s">
        <v>100</v>
      </c>
      <c r="D65" s="9" t="s">
        <v>103</v>
      </c>
      <c r="E65" s="17">
        <v>12</v>
      </c>
      <c r="F65" s="23">
        <f t="shared" si="1"/>
        <v>0</v>
      </c>
      <c r="G65" s="9">
        <f>IFERROR(INDEX('Juice Fridge'!$F$2:$F$300,MATCH(A65,'Juice Fridge'!$A$2:$A$300,0)),0)</f>
        <v>0</v>
      </c>
      <c r="H65" s="9">
        <f>IFERROR(INDEX('Upper Keg'!$F$2:$F$300,MATCH(A65,'Upper Keg'!$A$2:$A$300,0)),0)</f>
        <v>0</v>
      </c>
      <c r="I65" s="9">
        <f>IFERROR(INDEX('Astral Bar'!$F$2:$F$300,MATCH(A65,'Astral Bar'!$A$2:$A$300,0)),0)</f>
        <v>0</v>
      </c>
      <c r="J65" s="9">
        <f>IFERROR(INDEX('GB1 Bar'!$F$2:$F$300,MATCH(A65,'GB1 Bar'!$A$2:$A$300,0)),0)</f>
        <v>0</v>
      </c>
      <c r="K65" s="9">
        <f>IFERROR(INDEX('GB2 Bar'!$F$2:$F$300,MATCH(A65,'GB2 Bar'!$A$2:$A$300,0)),0)</f>
        <v>0</v>
      </c>
      <c r="L65" s="9">
        <f>IFERROR(INDEX('CB1 Bar'!$F$2:$F$300,MATCH(A65,'CB1 Bar'!$A$2:$A$300,0)),0)</f>
        <v>0</v>
      </c>
      <c r="M65" s="9">
        <f>IFERROR(INDEX('CB2 Bar'!$F$2:$F$300,MATCH(A65,'CB2 Bar'!$A$2:$A$300,0)),0)</f>
        <v>0</v>
      </c>
      <c r="N65" s="9">
        <f>IFERROR(INDEX('CB3 Bar'!$F$2:$F$300,MATCH(A65,'CB3 Bar'!$A$2:$A$300,0)),0)</f>
        <v>0</v>
      </c>
      <c r="O65" s="9">
        <f>IFERROR(INDEX('Spirits Room'!$F$2:$F$300,MATCH(A65,'Spirits Room'!$A$2:$A$300,0)),0)</f>
        <v>0</v>
      </c>
      <c r="P65" s="9">
        <f>IFERROR(INDEX('White Wine Fridge'!$F$2:$F$300,MATCH(A65,'White Wine Fridge'!$A$2:$A$300,0)),0)</f>
        <v>0</v>
      </c>
      <c r="Q65" s="9">
        <f>IFERROR(INDEX('Lower Keg'!$F$2:$F$300,MATCH(A65,'Lower Keg'!$A$2:$A$300,0)),0)</f>
        <v>0</v>
      </c>
      <c r="R65" s="9">
        <f>IFERROR(INDEX('Botanical Storeroom'!$F$2:$F$300,MATCH(A65,'Botanical Storeroom'!$A$2:$A$300,0)),0)</f>
        <v>0</v>
      </c>
      <c r="S65" s="9">
        <f>IFERROR(INDEX('Botanical Bar'!$F$2:$F$300,MATCH(A65,'Botanical Bar'!$A$2:$A$300,0)),0)</f>
        <v>0</v>
      </c>
      <c r="T65" s="9">
        <f>IFERROR(INDEX('Loading Dock Fridge'!$F$2:$F$300,MATCH(A65,'Loading Dock Fridge'!$A$2:$A$300,0)),0)</f>
        <v>0</v>
      </c>
      <c r="U65" s="9">
        <f>IFERROR(INDEX('Postmix Loading Dock'!$F$2:$F$300,MATCH(A65,'Postmix Loading Dock'!$A$2:$A$300,0)),0)</f>
        <v>0</v>
      </c>
      <c r="V65" s="9">
        <f>IFERROR(INDEX('Postmix Lower Keg'!$F$2:$F$300,MATCH(A65,'Postmix Lower Keg'!$A$2:$A$300,0)),0)</f>
        <v>0</v>
      </c>
      <c r="W65" s="10">
        <f>IFERROR(INDEX('Postmix TWR'!$F$2:$F$300,MATCH(A65,'Postmix TWR'!$A$2:$A$300,0)),0)</f>
        <v>0</v>
      </c>
    </row>
    <row r="66" spans="1:23" x14ac:dyDescent="0.35">
      <c r="A66" s="8">
        <v>35257</v>
      </c>
      <c r="B66" s="9" t="s">
        <v>99</v>
      </c>
      <c r="C66" s="9" t="s">
        <v>100</v>
      </c>
      <c r="D66" s="9" t="s">
        <v>104</v>
      </c>
      <c r="E66" s="17">
        <v>12</v>
      </c>
      <c r="F66" s="23">
        <f t="shared" ref="F66:F97" si="2">G66+H66+I66+J66+K66+L66+M66+N66+O66+P66+Q66+R66+S66+T66+U66+V66+W66</f>
        <v>0</v>
      </c>
      <c r="G66" s="9">
        <f>IFERROR(INDEX('Juice Fridge'!$F$2:$F$300,MATCH(A66,'Juice Fridge'!$A$2:$A$300,0)),0)</f>
        <v>0</v>
      </c>
      <c r="H66" s="9">
        <f>IFERROR(INDEX('Upper Keg'!$F$2:$F$300,MATCH(A66,'Upper Keg'!$A$2:$A$300,0)),0)</f>
        <v>0</v>
      </c>
      <c r="I66" s="9">
        <f>IFERROR(INDEX('Astral Bar'!$F$2:$F$300,MATCH(A66,'Astral Bar'!$A$2:$A$300,0)),0)</f>
        <v>0</v>
      </c>
      <c r="J66" s="9">
        <f>IFERROR(INDEX('GB1 Bar'!$F$2:$F$300,MATCH(A66,'GB1 Bar'!$A$2:$A$300,0)),0)</f>
        <v>0</v>
      </c>
      <c r="K66" s="9">
        <f>IFERROR(INDEX('GB2 Bar'!$F$2:$F$300,MATCH(A66,'GB2 Bar'!$A$2:$A$300,0)),0)</f>
        <v>0</v>
      </c>
      <c r="L66" s="9">
        <f>IFERROR(INDEX('CB1 Bar'!$F$2:$F$300,MATCH(A66,'CB1 Bar'!$A$2:$A$300,0)),0)</f>
        <v>0</v>
      </c>
      <c r="M66" s="9">
        <f>IFERROR(INDEX('CB2 Bar'!$F$2:$F$300,MATCH(A66,'CB2 Bar'!$A$2:$A$300,0)),0)</f>
        <v>0</v>
      </c>
      <c r="N66" s="9">
        <f>IFERROR(INDEX('CB3 Bar'!$F$2:$F$300,MATCH(A66,'CB3 Bar'!$A$2:$A$300,0)),0)</f>
        <v>0</v>
      </c>
      <c r="O66" s="9">
        <f>IFERROR(INDEX('Spirits Room'!$F$2:$F$300,MATCH(A66,'Spirits Room'!$A$2:$A$300,0)),0)</f>
        <v>0</v>
      </c>
      <c r="P66" s="9">
        <f>IFERROR(INDEX('White Wine Fridge'!$F$2:$F$300,MATCH(A66,'White Wine Fridge'!$A$2:$A$300,0)),0)</f>
        <v>0</v>
      </c>
      <c r="Q66" s="9">
        <f>IFERROR(INDEX('Lower Keg'!$F$2:$F$300,MATCH(A66,'Lower Keg'!$A$2:$A$300,0)),0)</f>
        <v>0</v>
      </c>
      <c r="R66" s="9">
        <f>IFERROR(INDEX('Botanical Storeroom'!$F$2:$F$300,MATCH(A66,'Botanical Storeroom'!$A$2:$A$300,0)),0)</f>
        <v>0</v>
      </c>
      <c r="S66" s="9">
        <f>IFERROR(INDEX('Botanical Bar'!$F$2:$F$300,MATCH(A66,'Botanical Bar'!$A$2:$A$300,0)),0)</f>
        <v>0</v>
      </c>
      <c r="T66" s="9">
        <f>IFERROR(INDEX('Loading Dock Fridge'!$F$2:$F$300,MATCH(A66,'Loading Dock Fridge'!$A$2:$A$300,0)),0)</f>
        <v>0</v>
      </c>
      <c r="U66" s="9">
        <f>IFERROR(INDEX('Postmix Loading Dock'!$F$2:$F$300,MATCH(A66,'Postmix Loading Dock'!$A$2:$A$300,0)),0)</f>
        <v>0</v>
      </c>
      <c r="V66" s="9">
        <f>IFERROR(INDEX('Postmix Lower Keg'!$F$2:$F$300,MATCH(A66,'Postmix Lower Keg'!$A$2:$A$300,0)),0)</f>
        <v>0</v>
      </c>
      <c r="W66" s="10">
        <f>IFERROR(INDEX('Postmix TWR'!$F$2:$F$300,MATCH(A66,'Postmix TWR'!$A$2:$A$300,0)),0)</f>
        <v>0</v>
      </c>
    </row>
    <row r="67" spans="1:23" x14ac:dyDescent="0.35">
      <c r="A67" s="8">
        <v>35199</v>
      </c>
      <c r="B67" s="9" t="s">
        <v>99</v>
      </c>
      <c r="C67" s="9" t="s">
        <v>100</v>
      </c>
      <c r="D67" s="9" t="s">
        <v>105</v>
      </c>
      <c r="E67" s="17">
        <v>12</v>
      </c>
      <c r="F67" s="23">
        <f t="shared" si="2"/>
        <v>0</v>
      </c>
      <c r="G67" s="9">
        <f>IFERROR(INDEX('Juice Fridge'!$F$2:$F$300,MATCH(A67,'Juice Fridge'!$A$2:$A$300,0)),0)</f>
        <v>0</v>
      </c>
      <c r="H67" s="9">
        <f>IFERROR(INDEX('Upper Keg'!$F$2:$F$300,MATCH(A67,'Upper Keg'!$A$2:$A$300,0)),0)</f>
        <v>0</v>
      </c>
      <c r="I67" s="9">
        <f>IFERROR(INDEX('Astral Bar'!$F$2:$F$300,MATCH(A67,'Astral Bar'!$A$2:$A$300,0)),0)</f>
        <v>0</v>
      </c>
      <c r="J67" s="9">
        <f>IFERROR(INDEX('GB1 Bar'!$F$2:$F$300,MATCH(A67,'GB1 Bar'!$A$2:$A$300,0)),0)</f>
        <v>0</v>
      </c>
      <c r="K67" s="9">
        <f>IFERROR(INDEX('GB2 Bar'!$F$2:$F$300,MATCH(A67,'GB2 Bar'!$A$2:$A$300,0)),0)</f>
        <v>0</v>
      </c>
      <c r="L67" s="9">
        <f>IFERROR(INDEX('CB1 Bar'!$F$2:$F$300,MATCH(A67,'CB1 Bar'!$A$2:$A$300,0)),0)</f>
        <v>0</v>
      </c>
      <c r="M67" s="9">
        <f>IFERROR(INDEX('CB2 Bar'!$F$2:$F$300,MATCH(A67,'CB2 Bar'!$A$2:$A$300,0)),0)</f>
        <v>0</v>
      </c>
      <c r="N67" s="9">
        <f>IFERROR(INDEX('CB3 Bar'!$F$2:$F$300,MATCH(A67,'CB3 Bar'!$A$2:$A$300,0)),0)</f>
        <v>0</v>
      </c>
      <c r="O67" s="9">
        <f>IFERROR(INDEX('Spirits Room'!$F$2:$F$300,MATCH(A67,'Spirits Room'!$A$2:$A$300,0)),0)</f>
        <v>0</v>
      </c>
      <c r="P67" s="9">
        <f>IFERROR(INDEX('White Wine Fridge'!$F$2:$F$300,MATCH(A67,'White Wine Fridge'!$A$2:$A$300,0)),0)</f>
        <v>0</v>
      </c>
      <c r="Q67" s="9">
        <f>IFERROR(INDEX('Lower Keg'!$F$2:$F$300,MATCH(A67,'Lower Keg'!$A$2:$A$300,0)),0)</f>
        <v>0</v>
      </c>
      <c r="R67" s="9">
        <f>IFERROR(INDEX('Botanical Storeroom'!$F$2:$F$300,MATCH(A67,'Botanical Storeroom'!$A$2:$A$300,0)),0)</f>
        <v>0</v>
      </c>
      <c r="S67" s="9">
        <f>IFERROR(INDEX('Botanical Bar'!$F$2:$F$300,MATCH(A67,'Botanical Bar'!$A$2:$A$300,0)),0)</f>
        <v>0</v>
      </c>
      <c r="T67" s="9">
        <f>IFERROR(INDEX('Loading Dock Fridge'!$F$2:$F$300,MATCH(A67,'Loading Dock Fridge'!$A$2:$A$300,0)),0)</f>
        <v>0</v>
      </c>
      <c r="U67" s="9">
        <f>IFERROR(INDEX('Postmix Loading Dock'!$F$2:$F$300,MATCH(A67,'Postmix Loading Dock'!$A$2:$A$300,0)),0)</f>
        <v>0</v>
      </c>
      <c r="V67" s="9">
        <f>IFERROR(INDEX('Postmix Lower Keg'!$F$2:$F$300,MATCH(A67,'Postmix Lower Keg'!$A$2:$A$300,0)),0)</f>
        <v>0</v>
      </c>
      <c r="W67" s="10">
        <f>IFERROR(INDEX('Postmix TWR'!$F$2:$F$300,MATCH(A67,'Postmix TWR'!$A$2:$A$300,0)),0)</f>
        <v>0</v>
      </c>
    </row>
    <row r="68" spans="1:23" x14ac:dyDescent="0.35">
      <c r="A68" s="8">
        <v>69117</v>
      </c>
      <c r="B68" s="9" t="s">
        <v>99</v>
      </c>
      <c r="C68" s="9" t="s">
        <v>100</v>
      </c>
      <c r="D68" s="9" t="s">
        <v>106</v>
      </c>
      <c r="E68" s="17">
        <v>6</v>
      </c>
      <c r="F68" s="23">
        <f t="shared" si="2"/>
        <v>0</v>
      </c>
      <c r="G68" s="9">
        <f>IFERROR(INDEX('Juice Fridge'!$F$2:$F$300,MATCH(A68,'Juice Fridge'!$A$2:$A$300,0)),0)</f>
        <v>0</v>
      </c>
      <c r="H68" s="9">
        <f>IFERROR(INDEX('Upper Keg'!$F$2:$F$300,MATCH(A68,'Upper Keg'!$A$2:$A$300,0)),0)</f>
        <v>0</v>
      </c>
      <c r="I68" s="9">
        <f>IFERROR(INDEX('Astral Bar'!$F$2:$F$300,MATCH(A68,'Astral Bar'!$A$2:$A$300,0)),0)</f>
        <v>0</v>
      </c>
      <c r="J68" s="9">
        <f>IFERROR(INDEX('GB1 Bar'!$F$2:$F$300,MATCH(A68,'GB1 Bar'!$A$2:$A$300,0)),0)</f>
        <v>0</v>
      </c>
      <c r="K68" s="9">
        <f>IFERROR(INDEX('GB2 Bar'!$F$2:$F$300,MATCH(A68,'GB2 Bar'!$A$2:$A$300,0)),0)</f>
        <v>0</v>
      </c>
      <c r="L68" s="9">
        <f>IFERROR(INDEX('CB1 Bar'!$F$2:$F$300,MATCH(A68,'CB1 Bar'!$A$2:$A$300,0)),0)</f>
        <v>0</v>
      </c>
      <c r="M68" s="9">
        <f>IFERROR(INDEX('CB2 Bar'!$F$2:$F$300,MATCH(A68,'CB2 Bar'!$A$2:$A$300,0)),0)</f>
        <v>0</v>
      </c>
      <c r="N68" s="9">
        <f>IFERROR(INDEX('CB3 Bar'!$F$2:$F$300,MATCH(A68,'CB3 Bar'!$A$2:$A$300,0)),0)</f>
        <v>0</v>
      </c>
      <c r="O68" s="9">
        <f>IFERROR(INDEX('Spirits Room'!$F$2:$F$300,MATCH(A68,'Spirits Room'!$A$2:$A$300,0)),0)</f>
        <v>0</v>
      </c>
      <c r="P68" s="9">
        <f>IFERROR(INDEX('White Wine Fridge'!$F$2:$F$300,MATCH(A68,'White Wine Fridge'!$A$2:$A$300,0)),0)</f>
        <v>0</v>
      </c>
      <c r="Q68" s="9">
        <f>IFERROR(INDEX('Lower Keg'!$F$2:$F$300,MATCH(A68,'Lower Keg'!$A$2:$A$300,0)),0)</f>
        <v>0</v>
      </c>
      <c r="R68" s="9">
        <f>IFERROR(INDEX('Botanical Storeroom'!$F$2:$F$300,MATCH(A68,'Botanical Storeroom'!$A$2:$A$300,0)),0)</f>
        <v>0</v>
      </c>
      <c r="S68" s="9">
        <f>IFERROR(INDEX('Botanical Bar'!$F$2:$F$300,MATCH(A68,'Botanical Bar'!$A$2:$A$300,0)),0)</f>
        <v>0</v>
      </c>
      <c r="T68" s="9">
        <f>IFERROR(INDEX('Loading Dock Fridge'!$F$2:$F$300,MATCH(A68,'Loading Dock Fridge'!$A$2:$A$300,0)),0)</f>
        <v>0</v>
      </c>
      <c r="U68" s="9">
        <f>IFERROR(INDEX('Postmix Loading Dock'!$F$2:$F$300,MATCH(A68,'Postmix Loading Dock'!$A$2:$A$300,0)),0)</f>
        <v>0</v>
      </c>
      <c r="V68" s="9">
        <f>IFERROR(INDEX('Postmix Lower Keg'!$F$2:$F$300,MATCH(A68,'Postmix Lower Keg'!$A$2:$A$300,0)),0)</f>
        <v>0</v>
      </c>
      <c r="W68" s="10">
        <f>IFERROR(INDEX('Postmix TWR'!$F$2:$F$300,MATCH(A68,'Postmix TWR'!$A$2:$A$300,0)),0)</f>
        <v>0</v>
      </c>
    </row>
    <row r="69" spans="1:23" x14ac:dyDescent="0.35">
      <c r="A69" s="8">
        <v>42817</v>
      </c>
      <c r="B69" s="9" t="s">
        <v>99</v>
      </c>
      <c r="C69" s="9" t="s">
        <v>100</v>
      </c>
      <c r="D69" s="9" t="s">
        <v>107</v>
      </c>
      <c r="E69" s="17">
        <v>6</v>
      </c>
      <c r="F69" s="23">
        <f t="shared" si="2"/>
        <v>0</v>
      </c>
      <c r="G69" s="9">
        <f>IFERROR(INDEX('Juice Fridge'!$F$2:$F$300,MATCH(A69,'Juice Fridge'!$A$2:$A$300,0)),0)</f>
        <v>0</v>
      </c>
      <c r="H69" s="9">
        <f>IFERROR(INDEX('Upper Keg'!$F$2:$F$300,MATCH(A69,'Upper Keg'!$A$2:$A$300,0)),0)</f>
        <v>0</v>
      </c>
      <c r="I69" s="9">
        <f>IFERROR(INDEX('Astral Bar'!$F$2:$F$300,MATCH(A69,'Astral Bar'!$A$2:$A$300,0)),0)</f>
        <v>0</v>
      </c>
      <c r="J69" s="9">
        <f>IFERROR(INDEX('GB1 Bar'!$F$2:$F$300,MATCH(A69,'GB1 Bar'!$A$2:$A$300,0)),0)</f>
        <v>0</v>
      </c>
      <c r="K69" s="9">
        <f>IFERROR(INDEX('GB2 Bar'!$F$2:$F$300,MATCH(A69,'GB2 Bar'!$A$2:$A$300,0)),0)</f>
        <v>0</v>
      </c>
      <c r="L69" s="9">
        <f>IFERROR(INDEX('CB1 Bar'!$F$2:$F$300,MATCH(A69,'CB1 Bar'!$A$2:$A$300,0)),0)</f>
        <v>0</v>
      </c>
      <c r="M69" s="9">
        <f>IFERROR(INDEX('CB2 Bar'!$F$2:$F$300,MATCH(A69,'CB2 Bar'!$A$2:$A$300,0)),0)</f>
        <v>0</v>
      </c>
      <c r="N69" s="9">
        <f>IFERROR(INDEX('CB3 Bar'!$F$2:$F$300,MATCH(A69,'CB3 Bar'!$A$2:$A$300,0)),0)</f>
        <v>0</v>
      </c>
      <c r="O69" s="9">
        <f>IFERROR(INDEX('Spirits Room'!$F$2:$F$300,MATCH(A69,'Spirits Room'!$A$2:$A$300,0)),0)</f>
        <v>0</v>
      </c>
      <c r="P69" s="9">
        <f>IFERROR(INDEX('White Wine Fridge'!$F$2:$F$300,MATCH(A69,'White Wine Fridge'!$A$2:$A$300,0)),0)</f>
        <v>0</v>
      </c>
      <c r="Q69" s="9">
        <f>IFERROR(INDEX('Lower Keg'!$F$2:$F$300,MATCH(A69,'Lower Keg'!$A$2:$A$300,0)),0)</f>
        <v>0</v>
      </c>
      <c r="R69" s="9">
        <f>IFERROR(INDEX('Botanical Storeroom'!$F$2:$F$300,MATCH(A69,'Botanical Storeroom'!$A$2:$A$300,0)),0)</f>
        <v>0</v>
      </c>
      <c r="S69" s="9">
        <f>IFERROR(INDEX('Botanical Bar'!$F$2:$F$300,MATCH(A69,'Botanical Bar'!$A$2:$A$300,0)),0)</f>
        <v>0</v>
      </c>
      <c r="T69" s="9">
        <f>IFERROR(INDEX('Loading Dock Fridge'!$F$2:$F$300,MATCH(A69,'Loading Dock Fridge'!$A$2:$A$300,0)),0)</f>
        <v>0</v>
      </c>
      <c r="U69" s="9">
        <f>IFERROR(INDEX('Postmix Loading Dock'!$F$2:$F$300,MATCH(A69,'Postmix Loading Dock'!$A$2:$A$300,0)),0)</f>
        <v>0</v>
      </c>
      <c r="V69" s="9">
        <f>IFERROR(INDEX('Postmix Lower Keg'!$F$2:$F$300,MATCH(A69,'Postmix Lower Keg'!$A$2:$A$300,0)),0)</f>
        <v>0</v>
      </c>
      <c r="W69" s="10">
        <f>IFERROR(INDEX('Postmix TWR'!$F$2:$F$300,MATCH(A69,'Postmix TWR'!$A$2:$A$300,0)),0)</f>
        <v>0</v>
      </c>
    </row>
    <row r="70" spans="1:23" x14ac:dyDescent="0.35">
      <c r="A70" s="8">
        <v>37272</v>
      </c>
      <c r="B70" s="9" t="s">
        <v>99</v>
      </c>
      <c r="C70" s="9" t="s">
        <v>100</v>
      </c>
      <c r="D70" s="9" t="s">
        <v>108</v>
      </c>
      <c r="E70" s="17">
        <v>6</v>
      </c>
      <c r="F70" s="23">
        <f t="shared" si="2"/>
        <v>0</v>
      </c>
      <c r="G70" s="9">
        <f>IFERROR(INDEX('Juice Fridge'!$F$2:$F$300,MATCH(A70,'Juice Fridge'!$A$2:$A$300,0)),0)</f>
        <v>0</v>
      </c>
      <c r="H70" s="9">
        <f>IFERROR(INDEX('Upper Keg'!$F$2:$F$300,MATCH(A70,'Upper Keg'!$A$2:$A$300,0)),0)</f>
        <v>0</v>
      </c>
      <c r="I70" s="9">
        <f>IFERROR(INDEX('Astral Bar'!$F$2:$F$300,MATCH(A70,'Astral Bar'!$A$2:$A$300,0)),0)</f>
        <v>0</v>
      </c>
      <c r="J70" s="9">
        <f>IFERROR(INDEX('GB1 Bar'!$F$2:$F$300,MATCH(A70,'GB1 Bar'!$A$2:$A$300,0)),0)</f>
        <v>0</v>
      </c>
      <c r="K70" s="9">
        <f>IFERROR(INDEX('GB2 Bar'!$F$2:$F$300,MATCH(A70,'GB2 Bar'!$A$2:$A$300,0)),0)</f>
        <v>0</v>
      </c>
      <c r="L70" s="9">
        <f>IFERROR(INDEX('CB1 Bar'!$F$2:$F$300,MATCH(A70,'CB1 Bar'!$A$2:$A$300,0)),0)</f>
        <v>0</v>
      </c>
      <c r="M70" s="9">
        <f>IFERROR(INDEX('CB2 Bar'!$F$2:$F$300,MATCH(A70,'CB2 Bar'!$A$2:$A$300,0)),0)</f>
        <v>0</v>
      </c>
      <c r="N70" s="9">
        <f>IFERROR(INDEX('CB3 Bar'!$F$2:$F$300,MATCH(A70,'CB3 Bar'!$A$2:$A$300,0)),0)</f>
        <v>0</v>
      </c>
      <c r="O70" s="9">
        <f>IFERROR(INDEX('Spirits Room'!$F$2:$F$300,MATCH(A70,'Spirits Room'!$A$2:$A$300,0)),0)</f>
        <v>0</v>
      </c>
      <c r="P70" s="9">
        <f>IFERROR(INDEX('White Wine Fridge'!$F$2:$F$300,MATCH(A70,'White Wine Fridge'!$A$2:$A$300,0)),0)</f>
        <v>0</v>
      </c>
      <c r="Q70" s="9">
        <f>IFERROR(INDEX('Lower Keg'!$F$2:$F$300,MATCH(A70,'Lower Keg'!$A$2:$A$300,0)),0)</f>
        <v>0</v>
      </c>
      <c r="R70" s="9">
        <f>IFERROR(INDEX('Botanical Storeroom'!$F$2:$F$300,MATCH(A70,'Botanical Storeroom'!$A$2:$A$300,0)),0)</f>
        <v>0</v>
      </c>
      <c r="S70" s="9">
        <f>IFERROR(INDEX('Botanical Bar'!$F$2:$F$300,MATCH(A70,'Botanical Bar'!$A$2:$A$300,0)),0)</f>
        <v>0</v>
      </c>
      <c r="T70" s="9">
        <f>IFERROR(INDEX('Loading Dock Fridge'!$F$2:$F$300,MATCH(A70,'Loading Dock Fridge'!$A$2:$A$300,0)),0)</f>
        <v>0</v>
      </c>
      <c r="U70" s="9">
        <f>IFERROR(INDEX('Postmix Loading Dock'!$F$2:$F$300,MATCH(A70,'Postmix Loading Dock'!$A$2:$A$300,0)),0)</f>
        <v>0</v>
      </c>
      <c r="V70" s="9">
        <f>IFERROR(INDEX('Postmix Lower Keg'!$F$2:$F$300,MATCH(A70,'Postmix Lower Keg'!$A$2:$A$300,0)),0)</f>
        <v>0</v>
      </c>
      <c r="W70" s="10">
        <f>IFERROR(INDEX('Postmix TWR'!$F$2:$F$300,MATCH(A70,'Postmix TWR'!$A$2:$A$300,0)),0)</f>
        <v>0</v>
      </c>
    </row>
    <row r="71" spans="1:23" x14ac:dyDescent="0.35">
      <c r="A71" s="8">
        <v>35342</v>
      </c>
      <c r="B71" s="9" t="s">
        <v>99</v>
      </c>
      <c r="C71" s="9" t="s">
        <v>100</v>
      </c>
      <c r="D71" s="9" t="s">
        <v>109</v>
      </c>
      <c r="E71" s="17">
        <v>12</v>
      </c>
      <c r="F71" s="23">
        <f t="shared" si="2"/>
        <v>0</v>
      </c>
      <c r="G71" s="9">
        <f>IFERROR(INDEX('Juice Fridge'!$F$2:$F$300,MATCH(A71,'Juice Fridge'!$A$2:$A$300,0)),0)</f>
        <v>0</v>
      </c>
      <c r="H71" s="9">
        <f>IFERROR(INDEX('Upper Keg'!$F$2:$F$300,MATCH(A71,'Upper Keg'!$A$2:$A$300,0)),0)</f>
        <v>0</v>
      </c>
      <c r="I71" s="9">
        <f>IFERROR(INDEX('Astral Bar'!$F$2:$F$300,MATCH(A71,'Astral Bar'!$A$2:$A$300,0)),0)</f>
        <v>0</v>
      </c>
      <c r="J71" s="9">
        <f>IFERROR(INDEX('GB1 Bar'!$F$2:$F$300,MATCH(A71,'GB1 Bar'!$A$2:$A$300,0)),0)</f>
        <v>0</v>
      </c>
      <c r="K71" s="9">
        <f>IFERROR(INDEX('GB2 Bar'!$F$2:$F$300,MATCH(A71,'GB2 Bar'!$A$2:$A$300,0)),0)</f>
        <v>0</v>
      </c>
      <c r="L71" s="9">
        <f>IFERROR(INDEX('CB1 Bar'!$F$2:$F$300,MATCH(A71,'CB1 Bar'!$A$2:$A$300,0)),0)</f>
        <v>0</v>
      </c>
      <c r="M71" s="9">
        <f>IFERROR(INDEX('CB2 Bar'!$F$2:$F$300,MATCH(A71,'CB2 Bar'!$A$2:$A$300,0)),0)</f>
        <v>0</v>
      </c>
      <c r="N71" s="9">
        <f>IFERROR(INDEX('CB3 Bar'!$F$2:$F$300,MATCH(A71,'CB3 Bar'!$A$2:$A$300,0)),0)</f>
        <v>0</v>
      </c>
      <c r="O71" s="9">
        <f>IFERROR(INDEX('Spirits Room'!$F$2:$F$300,MATCH(A71,'Spirits Room'!$A$2:$A$300,0)),0)</f>
        <v>0</v>
      </c>
      <c r="P71" s="9">
        <f>IFERROR(INDEX('White Wine Fridge'!$F$2:$F$300,MATCH(A71,'White Wine Fridge'!$A$2:$A$300,0)),0)</f>
        <v>0</v>
      </c>
      <c r="Q71" s="9">
        <f>IFERROR(INDEX('Lower Keg'!$F$2:$F$300,MATCH(A71,'Lower Keg'!$A$2:$A$300,0)),0)</f>
        <v>0</v>
      </c>
      <c r="R71" s="9">
        <f>IFERROR(INDEX('Botanical Storeroom'!$F$2:$F$300,MATCH(A71,'Botanical Storeroom'!$A$2:$A$300,0)),0)</f>
        <v>0</v>
      </c>
      <c r="S71" s="9">
        <f>IFERROR(INDEX('Botanical Bar'!$F$2:$F$300,MATCH(A71,'Botanical Bar'!$A$2:$A$300,0)),0)</f>
        <v>0</v>
      </c>
      <c r="T71" s="9">
        <f>IFERROR(INDEX('Loading Dock Fridge'!$F$2:$F$300,MATCH(A71,'Loading Dock Fridge'!$A$2:$A$300,0)),0)</f>
        <v>0</v>
      </c>
      <c r="U71" s="9">
        <f>IFERROR(INDEX('Postmix Loading Dock'!$F$2:$F$300,MATCH(A71,'Postmix Loading Dock'!$A$2:$A$300,0)),0)</f>
        <v>0</v>
      </c>
      <c r="V71" s="9">
        <f>IFERROR(INDEX('Postmix Lower Keg'!$F$2:$F$300,MATCH(A71,'Postmix Lower Keg'!$A$2:$A$300,0)),0)</f>
        <v>0</v>
      </c>
      <c r="W71" s="10">
        <f>IFERROR(INDEX('Postmix TWR'!$F$2:$F$300,MATCH(A71,'Postmix TWR'!$A$2:$A$300,0)),0)</f>
        <v>0</v>
      </c>
    </row>
    <row r="72" spans="1:23" x14ac:dyDescent="0.35">
      <c r="A72" s="8">
        <v>55624</v>
      </c>
      <c r="B72" s="9" t="s">
        <v>99</v>
      </c>
      <c r="C72" s="9" t="s">
        <v>100</v>
      </c>
      <c r="D72" s="9" t="s">
        <v>110</v>
      </c>
      <c r="E72" s="17">
        <v>6</v>
      </c>
      <c r="F72" s="23">
        <f t="shared" si="2"/>
        <v>0</v>
      </c>
      <c r="G72" s="9">
        <f>IFERROR(INDEX('Juice Fridge'!$F$2:$F$300,MATCH(A72,'Juice Fridge'!$A$2:$A$300,0)),0)</f>
        <v>0</v>
      </c>
      <c r="H72" s="9">
        <f>IFERROR(INDEX('Upper Keg'!$F$2:$F$300,MATCH(A72,'Upper Keg'!$A$2:$A$300,0)),0)</f>
        <v>0</v>
      </c>
      <c r="I72" s="9">
        <f>IFERROR(INDEX('Astral Bar'!$F$2:$F$300,MATCH(A72,'Astral Bar'!$A$2:$A$300,0)),0)</f>
        <v>0</v>
      </c>
      <c r="J72" s="9">
        <f>IFERROR(INDEX('GB1 Bar'!$F$2:$F$300,MATCH(A72,'GB1 Bar'!$A$2:$A$300,0)),0)</f>
        <v>0</v>
      </c>
      <c r="K72" s="9">
        <f>IFERROR(INDEX('GB2 Bar'!$F$2:$F$300,MATCH(A72,'GB2 Bar'!$A$2:$A$300,0)),0)</f>
        <v>0</v>
      </c>
      <c r="L72" s="9">
        <f>IFERROR(INDEX('CB1 Bar'!$F$2:$F$300,MATCH(A72,'CB1 Bar'!$A$2:$A$300,0)),0)</f>
        <v>0</v>
      </c>
      <c r="M72" s="9">
        <f>IFERROR(INDEX('CB2 Bar'!$F$2:$F$300,MATCH(A72,'CB2 Bar'!$A$2:$A$300,0)),0)</f>
        <v>0</v>
      </c>
      <c r="N72" s="9">
        <f>IFERROR(INDEX('CB3 Bar'!$F$2:$F$300,MATCH(A72,'CB3 Bar'!$A$2:$A$300,0)),0)</f>
        <v>0</v>
      </c>
      <c r="O72" s="9">
        <f>IFERROR(INDEX('Spirits Room'!$F$2:$F$300,MATCH(A72,'Spirits Room'!$A$2:$A$300,0)),0)</f>
        <v>0</v>
      </c>
      <c r="P72" s="9">
        <f>IFERROR(INDEX('White Wine Fridge'!$F$2:$F$300,MATCH(A72,'White Wine Fridge'!$A$2:$A$300,0)),0)</f>
        <v>0</v>
      </c>
      <c r="Q72" s="9">
        <f>IFERROR(INDEX('Lower Keg'!$F$2:$F$300,MATCH(A72,'Lower Keg'!$A$2:$A$300,0)),0)</f>
        <v>0</v>
      </c>
      <c r="R72" s="9">
        <f>IFERROR(INDEX('Botanical Storeroom'!$F$2:$F$300,MATCH(A72,'Botanical Storeroom'!$A$2:$A$300,0)),0)</f>
        <v>0</v>
      </c>
      <c r="S72" s="9">
        <f>IFERROR(INDEX('Botanical Bar'!$F$2:$F$300,MATCH(A72,'Botanical Bar'!$A$2:$A$300,0)),0)</f>
        <v>0</v>
      </c>
      <c r="T72" s="9">
        <f>IFERROR(INDEX('Loading Dock Fridge'!$F$2:$F$300,MATCH(A72,'Loading Dock Fridge'!$A$2:$A$300,0)),0)</f>
        <v>0</v>
      </c>
      <c r="U72" s="9">
        <f>IFERROR(INDEX('Postmix Loading Dock'!$F$2:$F$300,MATCH(A72,'Postmix Loading Dock'!$A$2:$A$300,0)),0)</f>
        <v>0</v>
      </c>
      <c r="V72" s="9">
        <f>IFERROR(INDEX('Postmix Lower Keg'!$F$2:$F$300,MATCH(A72,'Postmix Lower Keg'!$A$2:$A$300,0)),0)</f>
        <v>0</v>
      </c>
      <c r="W72" s="10">
        <f>IFERROR(INDEX('Postmix TWR'!$F$2:$F$300,MATCH(A72,'Postmix TWR'!$A$2:$A$300,0)),0)</f>
        <v>0</v>
      </c>
    </row>
    <row r="73" spans="1:23" x14ac:dyDescent="0.35">
      <c r="A73" s="8">
        <v>58826</v>
      </c>
      <c r="B73" s="9" t="s">
        <v>111</v>
      </c>
      <c r="C73" s="9" t="s">
        <v>100</v>
      </c>
      <c r="D73" s="9" t="s">
        <v>112</v>
      </c>
      <c r="E73" s="17">
        <v>12</v>
      </c>
      <c r="F73" s="23">
        <f t="shared" si="2"/>
        <v>0</v>
      </c>
      <c r="G73" s="9">
        <f>IFERROR(INDEX('Juice Fridge'!$F$2:$F$300,MATCH(A73,'Juice Fridge'!$A$2:$A$300,0)),0)</f>
        <v>0</v>
      </c>
      <c r="H73" s="9">
        <f>IFERROR(INDEX('Upper Keg'!$F$2:$F$300,MATCH(A73,'Upper Keg'!$A$2:$A$300,0)),0)</f>
        <v>0</v>
      </c>
      <c r="I73" s="9">
        <f>IFERROR(INDEX('Astral Bar'!$F$2:$F$300,MATCH(A73,'Astral Bar'!$A$2:$A$300,0)),0)</f>
        <v>0</v>
      </c>
      <c r="J73" s="9">
        <f>IFERROR(INDEX('GB1 Bar'!$F$2:$F$300,MATCH(A73,'GB1 Bar'!$A$2:$A$300,0)),0)</f>
        <v>0</v>
      </c>
      <c r="K73" s="9">
        <f>IFERROR(INDEX('GB2 Bar'!$F$2:$F$300,MATCH(A73,'GB2 Bar'!$A$2:$A$300,0)),0)</f>
        <v>0</v>
      </c>
      <c r="L73" s="9">
        <f>IFERROR(INDEX('CB1 Bar'!$F$2:$F$300,MATCH(A73,'CB1 Bar'!$A$2:$A$300,0)),0)</f>
        <v>0</v>
      </c>
      <c r="M73" s="9">
        <f>IFERROR(INDEX('CB2 Bar'!$F$2:$F$300,MATCH(A73,'CB2 Bar'!$A$2:$A$300,0)),0)</f>
        <v>0</v>
      </c>
      <c r="N73" s="9">
        <f>IFERROR(INDEX('CB3 Bar'!$F$2:$F$300,MATCH(A73,'CB3 Bar'!$A$2:$A$300,0)),0)</f>
        <v>0</v>
      </c>
      <c r="O73" s="9">
        <f>IFERROR(INDEX('Spirits Room'!$F$2:$F$300,MATCH(A73,'Spirits Room'!$A$2:$A$300,0)),0)</f>
        <v>0</v>
      </c>
      <c r="P73" s="9">
        <f>IFERROR(INDEX('White Wine Fridge'!$F$2:$F$300,MATCH(A73,'White Wine Fridge'!$A$2:$A$300,0)),0)</f>
        <v>0</v>
      </c>
      <c r="Q73" s="9">
        <f>IFERROR(INDEX('Lower Keg'!$F$2:$F$300,MATCH(A73,'Lower Keg'!$A$2:$A$300,0)),0)</f>
        <v>0</v>
      </c>
      <c r="R73" s="9">
        <f>IFERROR(INDEX('Botanical Storeroom'!$F$2:$F$300,MATCH(A73,'Botanical Storeroom'!$A$2:$A$300,0)),0)</f>
        <v>0</v>
      </c>
      <c r="S73" s="9">
        <f>IFERROR(INDEX('Botanical Bar'!$F$2:$F$300,MATCH(A73,'Botanical Bar'!$A$2:$A$300,0)),0)</f>
        <v>0</v>
      </c>
      <c r="T73" s="9">
        <f>IFERROR(INDEX('Loading Dock Fridge'!$F$2:$F$300,MATCH(A73,'Loading Dock Fridge'!$A$2:$A$300,0)),0)</f>
        <v>0</v>
      </c>
      <c r="U73" s="9">
        <f>IFERROR(INDEX('Postmix Loading Dock'!$F$2:$F$300,MATCH(A73,'Postmix Loading Dock'!$A$2:$A$300,0)),0)</f>
        <v>0</v>
      </c>
      <c r="V73" s="9">
        <f>IFERROR(INDEX('Postmix Lower Keg'!$F$2:$F$300,MATCH(A73,'Postmix Lower Keg'!$A$2:$A$300,0)),0)</f>
        <v>0</v>
      </c>
      <c r="W73" s="10">
        <f>IFERROR(INDEX('Postmix TWR'!$F$2:$F$300,MATCH(A73,'Postmix TWR'!$A$2:$A$300,0)),0)</f>
        <v>0</v>
      </c>
    </row>
    <row r="74" spans="1:23" x14ac:dyDescent="0.35">
      <c r="A74" s="8">
        <v>30787</v>
      </c>
      <c r="B74" s="9" t="s">
        <v>111</v>
      </c>
      <c r="C74" s="9" t="s">
        <v>100</v>
      </c>
      <c r="D74" s="9" t="s">
        <v>113</v>
      </c>
      <c r="E74" s="17">
        <v>12</v>
      </c>
      <c r="F74" s="23">
        <f t="shared" si="2"/>
        <v>0</v>
      </c>
      <c r="G74" s="9">
        <f>IFERROR(INDEX('Juice Fridge'!$F$2:$F$300,MATCH(A74,'Juice Fridge'!$A$2:$A$300,0)),0)</f>
        <v>0</v>
      </c>
      <c r="H74" s="9">
        <f>IFERROR(INDEX('Upper Keg'!$F$2:$F$300,MATCH(A74,'Upper Keg'!$A$2:$A$300,0)),0)</f>
        <v>0</v>
      </c>
      <c r="I74" s="9">
        <f>IFERROR(INDEX('Astral Bar'!$F$2:$F$300,MATCH(A74,'Astral Bar'!$A$2:$A$300,0)),0)</f>
        <v>0</v>
      </c>
      <c r="J74" s="9">
        <f>IFERROR(INDEX('GB1 Bar'!$F$2:$F$300,MATCH(A74,'GB1 Bar'!$A$2:$A$300,0)),0)</f>
        <v>0</v>
      </c>
      <c r="K74" s="9">
        <f>IFERROR(INDEX('GB2 Bar'!$F$2:$F$300,MATCH(A74,'GB2 Bar'!$A$2:$A$300,0)),0)</f>
        <v>0</v>
      </c>
      <c r="L74" s="9">
        <f>IFERROR(INDEX('CB1 Bar'!$F$2:$F$300,MATCH(A74,'CB1 Bar'!$A$2:$A$300,0)),0)</f>
        <v>0</v>
      </c>
      <c r="M74" s="9">
        <f>IFERROR(INDEX('CB2 Bar'!$F$2:$F$300,MATCH(A74,'CB2 Bar'!$A$2:$A$300,0)),0)</f>
        <v>0</v>
      </c>
      <c r="N74" s="9">
        <f>IFERROR(INDEX('CB3 Bar'!$F$2:$F$300,MATCH(A74,'CB3 Bar'!$A$2:$A$300,0)),0)</f>
        <v>0</v>
      </c>
      <c r="O74" s="9">
        <f>IFERROR(INDEX('Spirits Room'!$F$2:$F$300,MATCH(A74,'Spirits Room'!$A$2:$A$300,0)),0)</f>
        <v>0</v>
      </c>
      <c r="P74" s="9">
        <f>IFERROR(INDEX('White Wine Fridge'!$F$2:$F$300,MATCH(A74,'White Wine Fridge'!$A$2:$A$300,0)),0)</f>
        <v>0</v>
      </c>
      <c r="Q74" s="9">
        <f>IFERROR(INDEX('Lower Keg'!$F$2:$F$300,MATCH(A74,'Lower Keg'!$A$2:$A$300,0)),0)</f>
        <v>0</v>
      </c>
      <c r="R74" s="9">
        <f>IFERROR(INDEX('Botanical Storeroom'!$F$2:$F$300,MATCH(A74,'Botanical Storeroom'!$A$2:$A$300,0)),0)</f>
        <v>0</v>
      </c>
      <c r="S74" s="9">
        <f>IFERROR(INDEX('Botanical Bar'!$F$2:$F$300,MATCH(A74,'Botanical Bar'!$A$2:$A$300,0)),0)</f>
        <v>0</v>
      </c>
      <c r="T74" s="9">
        <f>IFERROR(INDEX('Loading Dock Fridge'!$F$2:$F$300,MATCH(A74,'Loading Dock Fridge'!$A$2:$A$300,0)),0)</f>
        <v>0</v>
      </c>
      <c r="U74" s="9">
        <f>IFERROR(INDEX('Postmix Loading Dock'!$F$2:$F$300,MATCH(A74,'Postmix Loading Dock'!$A$2:$A$300,0)),0)</f>
        <v>0</v>
      </c>
      <c r="V74" s="9">
        <f>IFERROR(INDEX('Postmix Lower Keg'!$F$2:$F$300,MATCH(A74,'Postmix Lower Keg'!$A$2:$A$300,0)),0)</f>
        <v>0</v>
      </c>
      <c r="W74" s="10">
        <f>IFERROR(INDEX('Postmix TWR'!$F$2:$F$300,MATCH(A74,'Postmix TWR'!$A$2:$A$300,0)),0)</f>
        <v>0</v>
      </c>
    </row>
    <row r="75" spans="1:23" x14ac:dyDescent="0.35">
      <c r="A75" s="8">
        <v>35541</v>
      </c>
      <c r="B75" s="9" t="s">
        <v>114</v>
      </c>
      <c r="C75" s="9" t="s">
        <v>100</v>
      </c>
      <c r="D75" s="9" t="s">
        <v>115</v>
      </c>
      <c r="E75" s="17">
        <v>6</v>
      </c>
      <c r="F75" s="23">
        <f t="shared" si="2"/>
        <v>0</v>
      </c>
      <c r="G75" s="9">
        <f>IFERROR(INDEX('Juice Fridge'!$F$2:$F$300,MATCH(A75,'Juice Fridge'!$A$2:$A$300,0)),0)</f>
        <v>0</v>
      </c>
      <c r="H75" s="9">
        <f>IFERROR(INDEX('Upper Keg'!$F$2:$F$300,MATCH(A75,'Upper Keg'!$A$2:$A$300,0)),0)</f>
        <v>0</v>
      </c>
      <c r="I75" s="9">
        <f>IFERROR(INDEX('Astral Bar'!$F$2:$F$300,MATCH(A75,'Astral Bar'!$A$2:$A$300,0)),0)</f>
        <v>0</v>
      </c>
      <c r="J75" s="9">
        <f>IFERROR(INDEX('GB1 Bar'!$F$2:$F$300,MATCH(A75,'GB1 Bar'!$A$2:$A$300,0)),0)</f>
        <v>0</v>
      </c>
      <c r="K75" s="9">
        <f>IFERROR(INDEX('GB2 Bar'!$F$2:$F$300,MATCH(A75,'GB2 Bar'!$A$2:$A$300,0)),0)</f>
        <v>0</v>
      </c>
      <c r="L75" s="9">
        <f>IFERROR(INDEX('CB1 Bar'!$F$2:$F$300,MATCH(A75,'CB1 Bar'!$A$2:$A$300,0)),0)</f>
        <v>0</v>
      </c>
      <c r="M75" s="9">
        <f>IFERROR(INDEX('CB2 Bar'!$F$2:$F$300,MATCH(A75,'CB2 Bar'!$A$2:$A$300,0)),0)</f>
        <v>0</v>
      </c>
      <c r="N75" s="9">
        <f>IFERROR(INDEX('CB3 Bar'!$F$2:$F$300,MATCH(A75,'CB3 Bar'!$A$2:$A$300,0)),0)</f>
        <v>0</v>
      </c>
      <c r="O75" s="9">
        <f>IFERROR(INDEX('Spirits Room'!$F$2:$F$300,MATCH(A75,'Spirits Room'!$A$2:$A$300,0)),0)</f>
        <v>0</v>
      </c>
      <c r="P75" s="9">
        <f>IFERROR(INDEX('White Wine Fridge'!$F$2:$F$300,MATCH(A75,'White Wine Fridge'!$A$2:$A$300,0)),0)</f>
        <v>0</v>
      </c>
      <c r="Q75" s="9">
        <f>IFERROR(INDEX('Lower Keg'!$F$2:$F$300,MATCH(A75,'Lower Keg'!$A$2:$A$300,0)),0)</f>
        <v>0</v>
      </c>
      <c r="R75" s="9">
        <f>IFERROR(INDEX('Botanical Storeroom'!$F$2:$F$300,MATCH(A75,'Botanical Storeroom'!$A$2:$A$300,0)),0)</f>
        <v>0</v>
      </c>
      <c r="S75" s="9">
        <f>IFERROR(INDEX('Botanical Bar'!$F$2:$F$300,MATCH(A75,'Botanical Bar'!$A$2:$A$300,0)),0)</f>
        <v>0</v>
      </c>
      <c r="T75" s="9">
        <f>IFERROR(INDEX('Loading Dock Fridge'!$F$2:$F$300,MATCH(A75,'Loading Dock Fridge'!$A$2:$A$300,0)),0)</f>
        <v>0</v>
      </c>
      <c r="U75" s="9">
        <f>IFERROR(INDEX('Postmix Loading Dock'!$F$2:$F$300,MATCH(A75,'Postmix Loading Dock'!$A$2:$A$300,0)),0)</f>
        <v>0</v>
      </c>
      <c r="V75" s="9">
        <f>IFERROR(INDEX('Postmix Lower Keg'!$F$2:$F$300,MATCH(A75,'Postmix Lower Keg'!$A$2:$A$300,0)),0)</f>
        <v>0</v>
      </c>
      <c r="W75" s="10">
        <f>IFERROR(INDEX('Postmix TWR'!$F$2:$F$300,MATCH(A75,'Postmix TWR'!$A$2:$A$300,0)),0)</f>
        <v>0</v>
      </c>
    </row>
    <row r="76" spans="1:23" x14ac:dyDescent="0.35">
      <c r="A76" s="8">
        <v>64873</v>
      </c>
      <c r="B76" s="9" t="s">
        <v>114</v>
      </c>
      <c r="C76" s="9" t="s">
        <v>100</v>
      </c>
      <c r="D76" s="9" t="s">
        <v>116</v>
      </c>
      <c r="E76" s="17">
        <v>6</v>
      </c>
      <c r="F76" s="23">
        <f t="shared" si="2"/>
        <v>0</v>
      </c>
      <c r="G76" s="9">
        <f>IFERROR(INDEX('Juice Fridge'!$F$2:$F$300,MATCH(A76,'Juice Fridge'!$A$2:$A$300,0)),0)</f>
        <v>0</v>
      </c>
      <c r="H76" s="9">
        <f>IFERROR(INDEX('Upper Keg'!$F$2:$F$300,MATCH(A76,'Upper Keg'!$A$2:$A$300,0)),0)</f>
        <v>0</v>
      </c>
      <c r="I76" s="9">
        <f>IFERROR(INDEX('Astral Bar'!$F$2:$F$300,MATCH(A76,'Astral Bar'!$A$2:$A$300,0)),0)</f>
        <v>0</v>
      </c>
      <c r="J76" s="9">
        <f>IFERROR(INDEX('GB1 Bar'!$F$2:$F$300,MATCH(A76,'GB1 Bar'!$A$2:$A$300,0)),0)</f>
        <v>0</v>
      </c>
      <c r="K76" s="9">
        <f>IFERROR(INDEX('GB2 Bar'!$F$2:$F$300,MATCH(A76,'GB2 Bar'!$A$2:$A$300,0)),0)</f>
        <v>0</v>
      </c>
      <c r="L76" s="9">
        <f>IFERROR(INDEX('CB1 Bar'!$F$2:$F$300,MATCH(A76,'CB1 Bar'!$A$2:$A$300,0)),0)</f>
        <v>0</v>
      </c>
      <c r="M76" s="9">
        <f>IFERROR(INDEX('CB2 Bar'!$F$2:$F$300,MATCH(A76,'CB2 Bar'!$A$2:$A$300,0)),0)</f>
        <v>0</v>
      </c>
      <c r="N76" s="9">
        <f>IFERROR(INDEX('CB3 Bar'!$F$2:$F$300,MATCH(A76,'CB3 Bar'!$A$2:$A$300,0)),0)</f>
        <v>0</v>
      </c>
      <c r="O76" s="9">
        <f>IFERROR(INDEX('Spirits Room'!$F$2:$F$300,MATCH(A76,'Spirits Room'!$A$2:$A$300,0)),0)</f>
        <v>0</v>
      </c>
      <c r="P76" s="9">
        <f>IFERROR(INDEX('White Wine Fridge'!$F$2:$F$300,MATCH(A76,'White Wine Fridge'!$A$2:$A$300,0)),0)</f>
        <v>0</v>
      </c>
      <c r="Q76" s="9">
        <f>IFERROR(INDEX('Lower Keg'!$F$2:$F$300,MATCH(A76,'Lower Keg'!$A$2:$A$300,0)),0)</f>
        <v>0</v>
      </c>
      <c r="R76" s="9">
        <f>IFERROR(INDEX('Botanical Storeroom'!$F$2:$F$300,MATCH(A76,'Botanical Storeroom'!$A$2:$A$300,0)),0)</f>
        <v>0</v>
      </c>
      <c r="S76" s="9">
        <f>IFERROR(INDEX('Botanical Bar'!$F$2:$F$300,MATCH(A76,'Botanical Bar'!$A$2:$A$300,0)),0)</f>
        <v>0</v>
      </c>
      <c r="T76" s="9">
        <f>IFERROR(INDEX('Loading Dock Fridge'!$F$2:$F$300,MATCH(A76,'Loading Dock Fridge'!$A$2:$A$300,0)),0)</f>
        <v>0</v>
      </c>
      <c r="U76" s="9">
        <f>IFERROR(INDEX('Postmix Loading Dock'!$F$2:$F$300,MATCH(A76,'Postmix Loading Dock'!$A$2:$A$300,0)),0)</f>
        <v>0</v>
      </c>
      <c r="V76" s="9">
        <f>IFERROR(INDEX('Postmix Lower Keg'!$F$2:$F$300,MATCH(A76,'Postmix Lower Keg'!$A$2:$A$300,0)),0)</f>
        <v>0</v>
      </c>
      <c r="W76" s="10">
        <f>IFERROR(INDEX('Postmix TWR'!$F$2:$F$300,MATCH(A76,'Postmix TWR'!$A$2:$A$300,0)),0)</f>
        <v>0</v>
      </c>
    </row>
    <row r="77" spans="1:23" x14ac:dyDescent="0.35">
      <c r="A77" s="8">
        <v>37350</v>
      </c>
      <c r="B77" s="9" t="s">
        <v>114</v>
      </c>
      <c r="C77" s="9" t="s">
        <v>100</v>
      </c>
      <c r="D77" s="9" t="s">
        <v>117</v>
      </c>
      <c r="E77" s="17">
        <v>6</v>
      </c>
      <c r="F77" s="23">
        <f t="shared" si="2"/>
        <v>0</v>
      </c>
      <c r="G77" s="9">
        <f>IFERROR(INDEX('Juice Fridge'!$F$2:$F$300,MATCH(A77,'Juice Fridge'!$A$2:$A$300,0)),0)</f>
        <v>0</v>
      </c>
      <c r="H77" s="9">
        <f>IFERROR(INDEX('Upper Keg'!$F$2:$F$300,MATCH(A77,'Upper Keg'!$A$2:$A$300,0)),0)</f>
        <v>0</v>
      </c>
      <c r="I77" s="9">
        <f>IFERROR(INDEX('Astral Bar'!$F$2:$F$300,MATCH(A77,'Astral Bar'!$A$2:$A$300,0)),0)</f>
        <v>0</v>
      </c>
      <c r="J77" s="9">
        <f>IFERROR(INDEX('GB1 Bar'!$F$2:$F$300,MATCH(A77,'GB1 Bar'!$A$2:$A$300,0)),0)</f>
        <v>0</v>
      </c>
      <c r="K77" s="9">
        <f>IFERROR(INDEX('GB2 Bar'!$F$2:$F$300,MATCH(A77,'GB2 Bar'!$A$2:$A$300,0)),0)</f>
        <v>0</v>
      </c>
      <c r="L77" s="9">
        <f>IFERROR(INDEX('CB1 Bar'!$F$2:$F$300,MATCH(A77,'CB1 Bar'!$A$2:$A$300,0)),0)</f>
        <v>0</v>
      </c>
      <c r="M77" s="9">
        <f>IFERROR(INDEX('CB2 Bar'!$F$2:$F$300,MATCH(A77,'CB2 Bar'!$A$2:$A$300,0)),0)</f>
        <v>0</v>
      </c>
      <c r="N77" s="9">
        <f>IFERROR(INDEX('CB3 Bar'!$F$2:$F$300,MATCH(A77,'CB3 Bar'!$A$2:$A$300,0)),0)</f>
        <v>0</v>
      </c>
      <c r="O77" s="9">
        <f>IFERROR(INDEX('Spirits Room'!$F$2:$F$300,MATCH(A77,'Spirits Room'!$A$2:$A$300,0)),0)</f>
        <v>0</v>
      </c>
      <c r="P77" s="9">
        <f>IFERROR(INDEX('White Wine Fridge'!$F$2:$F$300,MATCH(A77,'White Wine Fridge'!$A$2:$A$300,0)),0)</f>
        <v>0</v>
      </c>
      <c r="Q77" s="9">
        <f>IFERROR(INDEX('Lower Keg'!$F$2:$F$300,MATCH(A77,'Lower Keg'!$A$2:$A$300,0)),0)</f>
        <v>0</v>
      </c>
      <c r="R77" s="9">
        <f>IFERROR(INDEX('Botanical Storeroom'!$F$2:$F$300,MATCH(A77,'Botanical Storeroom'!$A$2:$A$300,0)),0)</f>
        <v>0</v>
      </c>
      <c r="S77" s="9">
        <f>IFERROR(INDEX('Botanical Bar'!$F$2:$F$300,MATCH(A77,'Botanical Bar'!$A$2:$A$300,0)),0)</f>
        <v>0</v>
      </c>
      <c r="T77" s="9">
        <f>IFERROR(INDEX('Loading Dock Fridge'!$F$2:$F$300,MATCH(A77,'Loading Dock Fridge'!$A$2:$A$300,0)),0)</f>
        <v>0</v>
      </c>
      <c r="U77" s="9">
        <f>IFERROR(INDEX('Postmix Loading Dock'!$F$2:$F$300,MATCH(A77,'Postmix Loading Dock'!$A$2:$A$300,0)),0)</f>
        <v>0</v>
      </c>
      <c r="V77" s="9">
        <f>IFERROR(INDEX('Postmix Lower Keg'!$F$2:$F$300,MATCH(A77,'Postmix Lower Keg'!$A$2:$A$300,0)),0)</f>
        <v>0</v>
      </c>
      <c r="W77" s="10">
        <f>IFERROR(INDEX('Postmix TWR'!$F$2:$F$300,MATCH(A77,'Postmix TWR'!$A$2:$A$300,0)),0)</f>
        <v>0</v>
      </c>
    </row>
    <row r="78" spans="1:23" x14ac:dyDescent="0.35">
      <c r="A78" s="8">
        <v>51559</v>
      </c>
      <c r="B78" s="9" t="s">
        <v>118</v>
      </c>
      <c r="C78" s="9" t="s">
        <v>100</v>
      </c>
      <c r="D78" s="9" t="s">
        <v>119</v>
      </c>
      <c r="E78" s="17">
        <v>12</v>
      </c>
      <c r="F78" s="23">
        <f t="shared" si="2"/>
        <v>0</v>
      </c>
      <c r="G78" s="9">
        <f>IFERROR(INDEX('Juice Fridge'!$F$2:$F$300,MATCH(A78,'Juice Fridge'!$A$2:$A$300,0)),0)</f>
        <v>0</v>
      </c>
      <c r="H78" s="9">
        <f>IFERROR(INDEX('Upper Keg'!$F$2:$F$300,MATCH(A78,'Upper Keg'!$A$2:$A$300,0)),0)</f>
        <v>0</v>
      </c>
      <c r="I78" s="9">
        <f>IFERROR(INDEX('Astral Bar'!$F$2:$F$300,MATCH(A78,'Astral Bar'!$A$2:$A$300,0)),0)</f>
        <v>0</v>
      </c>
      <c r="J78" s="9">
        <f>IFERROR(INDEX('GB1 Bar'!$F$2:$F$300,MATCH(A78,'GB1 Bar'!$A$2:$A$300,0)),0)</f>
        <v>0</v>
      </c>
      <c r="K78" s="9">
        <f>IFERROR(INDEX('GB2 Bar'!$F$2:$F$300,MATCH(A78,'GB2 Bar'!$A$2:$A$300,0)),0)</f>
        <v>0</v>
      </c>
      <c r="L78" s="9">
        <f>IFERROR(INDEX('CB1 Bar'!$F$2:$F$300,MATCH(A78,'CB1 Bar'!$A$2:$A$300,0)),0)</f>
        <v>0</v>
      </c>
      <c r="M78" s="9">
        <f>IFERROR(INDEX('CB2 Bar'!$F$2:$F$300,MATCH(A78,'CB2 Bar'!$A$2:$A$300,0)),0)</f>
        <v>0</v>
      </c>
      <c r="N78" s="9">
        <f>IFERROR(INDEX('CB3 Bar'!$F$2:$F$300,MATCH(A78,'CB3 Bar'!$A$2:$A$300,0)),0)</f>
        <v>0</v>
      </c>
      <c r="O78" s="9">
        <f>IFERROR(INDEX('Spirits Room'!$F$2:$F$300,MATCH(A78,'Spirits Room'!$A$2:$A$300,0)),0)</f>
        <v>0</v>
      </c>
      <c r="P78" s="9">
        <f>IFERROR(INDEX('White Wine Fridge'!$F$2:$F$300,MATCH(A78,'White Wine Fridge'!$A$2:$A$300,0)),0)</f>
        <v>0</v>
      </c>
      <c r="Q78" s="9">
        <f>IFERROR(INDEX('Lower Keg'!$F$2:$F$300,MATCH(A78,'Lower Keg'!$A$2:$A$300,0)),0)</f>
        <v>0</v>
      </c>
      <c r="R78" s="9">
        <f>IFERROR(INDEX('Botanical Storeroom'!$F$2:$F$300,MATCH(A78,'Botanical Storeroom'!$A$2:$A$300,0)),0)</f>
        <v>0</v>
      </c>
      <c r="S78" s="9">
        <f>IFERROR(INDEX('Botanical Bar'!$F$2:$F$300,MATCH(A78,'Botanical Bar'!$A$2:$A$300,0)),0)</f>
        <v>0</v>
      </c>
      <c r="T78" s="9">
        <f>IFERROR(INDEX('Loading Dock Fridge'!$F$2:$F$300,MATCH(A78,'Loading Dock Fridge'!$A$2:$A$300,0)),0)</f>
        <v>0</v>
      </c>
      <c r="U78" s="9">
        <f>IFERROR(INDEX('Postmix Loading Dock'!$F$2:$F$300,MATCH(A78,'Postmix Loading Dock'!$A$2:$A$300,0)),0)</f>
        <v>0</v>
      </c>
      <c r="V78" s="9">
        <f>IFERROR(INDEX('Postmix Lower Keg'!$F$2:$F$300,MATCH(A78,'Postmix Lower Keg'!$A$2:$A$300,0)),0)</f>
        <v>0</v>
      </c>
      <c r="W78" s="10">
        <f>IFERROR(INDEX('Postmix TWR'!$F$2:$F$300,MATCH(A78,'Postmix TWR'!$A$2:$A$300,0)),0)</f>
        <v>0</v>
      </c>
    </row>
    <row r="79" spans="1:23" x14ac:dyDescent="0.35">
      <c r="A79" s="8">
        <v>36883</v>
      </c>
      <c r="B79" s="9" t="s">
        <v>118</v>
      </c>
      <c r="C79" s="9" t="s">
        <v>100</v>
      </c>
      <c r="D79" s="9" t="s">
        <v>120</v>
      </c>
      <c r="E79" s="17">
        <v>6</v>
      </c>
      <c r="F79" s="23">
        <f t="shared" si="2"/>
        <v>0</v>
      </c>
      <c r="G79" s="9">
        <f>IFERROR(INDEX('Juice Fridge'!$F$2:$F$300,MATCH(A79,'Juice Fridge'!$A$2:$A$300,0)),0)</f>
        <v>0</v>
      </c>
      <c r="H79" s="9">
        <f>IFERROR(INDEX('Upper Keg'!$F$2:$F$300,MATCH(A79,'Upper Keg'!$A$2:$A$300,0)),0)</f>
        <v>0</v>
      </c>
      <c r="I79" s="9">
        <f>IFERROR(INDEX('Astral Bar'!$F$2:$F$300,MATCH(A79,'Astral Bar'!$A$2:$A$300,0)),0)</f>
        <v>0</v>
      </c>
      <c r="J79" s="9">
        <f>IFERROR(INDEX('GB1 Bar'!$F$2:$F$300,MATCH(A79,'GB1 Bar'!$A$2:$A$300,0)),0)</f>
        <v>0</v>
      </c>
      <c r="K79" s="9">
        <f>IFERROR(INDEX('GB2 Bar'!$F$2:$F$300,MATCH(A79,'GB2 Bar'!$A$2:$A$300,0)),0)</f>
        <v>0</v>
      </c>
      <c r="L79" s="9">
        <f>IFERROR(INDEX('CB1 Bar'!$F$2:$F$300,MATCH(A79,'CB1 Bar'!$A$2:$A$300,0)),0)</f>
        <v>0</v>
      </c>
      <c r="M79" s="9">
        <f>IFERROR(INDEX('CB2 Bar'!$F$2:$F$300,MATCH(A79,'CB2 Bar'!$A$2:$A$300,0)),0)</f>
        <v>0</v>
      </c>
      <c r="N79" s="9">
        <f>IFERROR(INDEX('CB3 Bar'!$F$2:$F$300,MATCH(A79,'CB3 Bar'!$A$2:$A$300,0)),0)</f>
        <v>0</v>
      </c>
      <c r="O79" s="9">
        <f>IFERROR(INDEX('Spirits Room'!$F$2:$F$300,MATCH(A79,'Spirits Room'!$A$2:$A$300,0)),0)</f>
        <v>0</v>
      </c>
      <c r="P79" s="9">
        <f>IFERROR(INDEX('White Wine Fridge'!$F$2:$F$300,MATCH(A79,'White Wine Fridge'!$A$2:$A$300,0)),0)</f>
        <v>0</v>
      </c>
      <c r="Q79" s="9">
        <f>IFERROR(INDEX('Lower Keg'!$F$2:$F$300,MATCH(A79,'Lower Keg'!$A$2:$A$300,0)),0)</f>
        <v>0</v>
      </c>
      <c r="R79" s="9">
        <f>IFERROR(INDEX('Botanical Storeroom'!$F$2:$F$300,MATCH(A79,'Botanical Storeroom'!$A$2:$A$300,0)),0)</f>
        <v>0</v>
      </c>
      <c r="S79" s="9">
        <f>IFERROR(INDEX('Botanical Bar'!$F$2:$F$300,MATCH(A79,'Botanical Bar'!$A$2:$A$300,0)),0)</f>
        <v>0</v>
      </c>
      <c r="T79" s="9">
        <f>IFERROR(INDEX('Loading Dock Fridge'!$F$2:$F$300,MATCH(A79,'Loading Dock Fridge'!$A$2:$A$300,0)),0)</f>
        <v>0</v>
      </c>
      <c r="U79" s="9">
        <f>IFERROR(INDEX('Postmix Loading Dock'!$F$2:$F$300,MATCH(A79,'Postmix Loading Dock'!$A$2:$A$300,0)),0)</f>
        <v>0</v>
      </c>
      <c r="V79" s="9">
        <f>IFERROR(INDEX('Postmix Lower Keg'!$F$2:$F$300,MATCH(A79,'Postmix Lower Keg'!$A$2:$A$300,0)),0)</f>
        <v>0</v>
      </c>
      <c r="W79" s="10">
        <f>IFERROR(INDEX('Postmix TWR'!$F$2:$F$300,MATCH(A79,'Postmix TWR'!$A$2:$A$300,0)),0)</f>
        <v>0</v>
      </c>
    </row>
    <row r="80" spans="1:23" x14ac:dyDescent="0.35">
      <c r="A80" s="8">
        <v>63102</v>
      </c>
      <c r="B80" s="9" t="s">
        <v>118</v>
      </c>
      <c r="C80" s="9" t="s">
        <v>100</v>
      </c>
      <c r="D80" s="9" t="s">
        <v>121</v>
      </c>
      <c r="E80" s="17">
        <v>6</v>
      </c>
      <c r="F80" s="23">
        <f t="shared" si="2"/>
        <v>0</v>
      </c>
      <c r="G80" s="9">
        <f>IFERROR(INDEX('Juice Fridge'!$F$2:$F$300,MATCH(A80,'Juice Fridge'!$A$2:$A$300,0)),0)</f>
        <v>0</v>
      </c>
      <c r="H80" s="9">
        <f>IFERROR(INDEX('Upper Keg'!$F$2:$F$300,MATCH(A80,'Upper Keg'!$A$2:$A$300,0)),0)</f>
        <v>0</v>
      </c>
      <c r="I80" s="9">
        <f>IFERROR(INDEX('Astral Bar'!$F$2:$F$300,MATCH(A80,'Astral Bar'!$A$2:$A$300,0)),0)</f>
        <v>0</v>
      </c>
      <c r="J80" s="9">
        <f>IFERROR(INDEX('GB1 Bar'!$F$2:$F$300,MATCH(A80,'GB1 Bar'!$A$2:$A$300,0)),0)</f>
        <v>0</v>
      </c>
      <c r="K80" s="9">
        <f>IFERROR(INDEX('GB2 Bar'!$F$2:$F$300,MATCH(A80,'GB2 Bar'!$A$2:$A$300,0)),0)</f>
        <v>0</v>
      </c>
      <c r="L80" s="9">
        <f>IFERROR(INDEX('CB1 Bar'!$F$2:$F$300,MATCH(A80,'CB1 Bar'!$A$2:$A$300,0)),0)</f>
        <v>0</v>
      </c>
      <c r="M80" s="9">
        <f>IFERROR(INDEX('CB2 Bar'!$F$2:$F$300,MATCH(A80,'CB2 Bar'!$A$2:$A$300,0)),0)</f>
        <v>0</v>
      </c>
      <c r="N80" s="9">
        <f>IFERROR(INDEX('CB3 Bar'!$F$2:$F$300,MATCH(A80,'CB3 Bar'!$A$2:$A$300,0)),0)</f>
        <v>0</v>
      </c>
      <c r="O80" s="9">
        <f>IFERROR(INDEX('Spirits Room'!$F$2:$F$300,MATCH(A80,'Spirits Room'!$A$2:$A$300,0)),0)</f>
        <v>0</v>
      </c>
      <c r="P80" s="9">
        <f>IFERROR(INDEX('White Wine Fridge'!$F$2:$F$300,MATCH(A80,'White Wine Fridge'!$A$2:$A$300,0)),0)</f>
        <v>0</v>
      </c>
      <c r="Q80" s="9">
        <f>IFERROR(INDEX('Lower Keg'!$F$2:$F$300,MATCH(A80,'Lower Keg'!$A$2:$A$300,0)),0)</f>
        <v>0</v>
      </c>
      <c r="R80" s="9">
        <f>IFERROR(INDEX('Botanical Storeroom'!$F$2:$F$300,MATCH(A80,'Botanical Storeroom'!$A$2:$A$300,0)),0)</f>
        <v>0</v>
      </c>
      <c r="S80" s="9">
        <f>IFERROR(INDEX('Botanical Bar'!$F$2:$F$300,MATCH(A80,'Botanical Bar'!$A$2:$A$300,0)),0)</f>
        <v>0</v>
      </c>
      <c r="T80" s="9">
        <f>IFERROR(INDEX('Loading Dock Fridge'!$F$2:$F$300,MATCH(A80,'Loading Dock Fridge'!$A$2:$A$300,0)),0)</f>
        <v>0</v>
      </c>
      <c r="U80" s="9">
        <f>IFERROR(INDEX('Postmix Loading Dock'!$F$2:$F$300,MATCH(A80,'Postmix Loading Dock'!$A$2:$A$300,0)),0)</f>
        <v>0</v>
      </c>
      <c r="V80" s="9">
        <f>IFERROR(INDEX('Postmix Lower Keg'!$F$2:$F$300,MATCH(A80,'Postmix Lower Keg'!$A$2:$A$300,0)),0)</f>
        <v>0</v>
      </c>
      <c r="W80" s="10">
        <f>IFERROR(INDEX('Postmix TWR'!$F$2:$F$300,MATCH(A80,'Postmix TWR'!$A$2:$A$300,0)),0)</f>
        <v>0</v>
      </c>
    </row>
    <row r="81" spans="1:23" x14ac:dyDescent="0.35">
      <c r="A81" s="8">
        <v>23103</v>
      </c>
      <c r="B81" s="9" t="s">
        <v>118</v>
      </c>
      <c r="C81" s="9" t="s">
        <v>100</v>
      </c>
      <c r="D81" s="9" t="s">
        <v>122</v>
      </c>
      <c r="E81" s="17">
        <v>12</v>
      </c>
      <c r="F81" s="23">
        <f t="shared" si="2"/>
        <v>0</v>
      </c>
      <c r="G81" s="9">
        <f>IFERROR(INDEX('Juice Fridge'!$F$2:$F$300,MATCH(A81,'Juice Fridge'!$A$2:$A$300,0)),0)</f>
        <v>0</v>
      </c>
      <c r="H81" s="9">
        <f>IFERROR(INDEX('Upper Keg'!$F$2:$F$300,MATCH(A81,'Upper Keg'!$A$2:$A$300,0)),0)</f>
        <v>0</v>
      </c>
      <c r="I81" s="9">
        <f>IFERROR(INDEX('Astral Bar'!$F$2:$F$300,MATCH(A81,'Astral Bar'!$A$2:$A$300,0)),0)</f>
        <v>0</v>
      </c>
      <c r="J81" s="9">
        <f>IFERROR(INDEX('GB1 Bar'!$F$2:$F$300,MATCH(A81,'GB1 Bar'!$A$2:$A$300,0)),0)</f>
        <v>0</v>
      </c>
      <c r="K81" s="9">
        <f>IFERROR(INDEX('GB2 Bar'!$F$2:$F$300,MATCH(A81,'GB2 Bar'!$A$2:$A$300,0)),0)</f>
        <v>0</v>
      </c>
      <c r="L81" s="9">
        <f>IFERROR(INDEX('CB1 Bar'!$F$2:$F$300,MATCH(A81,'CB1 Bar'!$A$2:$A$300,0)),0)</f>
        <v>0</v>
      </c>
      <c r="M81" s="9">
        <f>IFERROR(INDEX('CB2 Bar'!$F$2:$F$300,MATCH(A81,'CB2 Bar'!$A$2:$A$300,0)),0)</f>
        <v>0</v>
      </c>
      <c r="N81" s="9">
        <f>IFERROR(INDEX('CB3 Bar'!$F$2:$F$300,MATCH(A81,'CB3 Bar'!$A$2:$A$300,0)),0)</f>
        <v>0</v>
      </c>
      <c r="O81" s="9">
        <f>IFERROR(INDEX('Spirits Room'!$F$2:$F$300,MATCH(A81,'Spirits Room'!$A$2:$A$300,0)),0)</f>
        <v>0</v>
      </c>
      <c r="P81" s="9">
        <f>IFERROR(INDEX('White Wine Fridge'!$F$2:$F$300,MATCH(A81,'White Wine Fridge'!$A$2:$A$300,0)),0)</f>
        <v>0</v>
      </c>
      <c r="Q81" s="9">
        <f>IFERROR(INDEX('Lower Keg'!$F$2:$F$300,MATCH(A81,'Lower Keg'!$A$2:$A$300,0)),0)</f>
        <v>0</v>
      </c>
      <c r="R81" s="9">
        <f>IFERROR(INDEX('Botanical Storeroom'!$F$2:$F$300,MATCH(A81,'Botanical Storeroom'!$A$2:$A$300,0)),0)</f>
        <v>0</v>
      </c>
      <c r="S81" s="9">
        <f>IFERROR(INDEX('Botanical Bar'!$F$2:$F$300,MATCH(A81,'Botanical Bar'!$A$2:$A$300,0)),0)</f>
        <v>0</v>
      </c>
      <c r="T81" s="9">
        <f>IFERROR(INDEX('Loading Dock Fridge'!$F$2:$F$300,MATCH(A81,'Loading Dock Fridge'!$A$2:$A$300,0)),0)</f>
        <v>0</v>
      </c>
      <c r="U81" s="9">
        <f>IFERROR(INDEX('Postmix Loading Dock'!$F$2:$F$300,MATCH(A81,'Postmix Loading Dock'!$A$2:$A$300,0)),0)</f>
        <v>0</v>
      </c>
      <c r="V81" s="9">
        <f>IFERROR(INDEX('Postmix Lower Keg'!$F$2:$F$300,MATCH(A81,'Postmix Lower Keg'!$A$2:$A$300,0)),0)</f>
        <v>0</v>
      </c>
      <c r="W81" s="10">
        <f>IFERROR(INDEX('Postmix TWR'!$F$2:$F$300,MATCH(A81,'Postmix TWR'!$A$2:$A$300,0)),0)</f>
        <v>0</v>
      </c>
    </row>
    <row r="82" spans="1:23" x14ac:dyDescent="0.35">
      <c r="A82" s="8">
        <v>58604</v>
      </c>
      <c r="B82" s="9" t="s">
        <v>118</v>
      </c>
      <c r="C82" s="9" t="s">
        <v>100</v>
      </c>
      <c r="D82" s="9" t="s">
        <v>123</v>
      </c>
      <c r="E82" s="17">
        <v>6</v>
      </c>
      <c r="F82" s="23">
        <f t="shared" si="2"/>
        <v>0</v>
      </c>
      <c r="G82" s="9">
        <f>IFERROR(INDEX('Juice Fridge'!$F$2:$F$300,MATCH(A82,'Juice Fridge'!$A$2:$A$300,0)),0)</f>
        <v>0</v>
      </c>
      <c r="H82" s="9">
        <f>IFERROR(INDEX('Upper Keg'!$F$2:$F$300,MATCH(A82,'Upper Keg'!$A$2:$A$300,0)),0)</f>
        <v>0</v>
      </c>
      <c r="I82" s="9">
        <f>IFERROR(INDEX('Astral Bar'!$F$2:$F$300,MATCH(A82,'Astral Bar'!$A$2:$A$300,0)),0)</f>
        <v>0</v>
      </c>
      <c r="J82" s="9">
        <f>IFERROR(INDEX('GB1 Bar'!$F$2:$F$300,MATCH(A82,'GB1 Bar'!$A$2:$A$300,0)),0)</f>
        <v>0</v>
      </c>
      <c r="K82" s="9">
        <f>IFERROR(INDEX('GB2 Bar'!$F$2:$F$300,MATCH(A82,'GB2 Bar'!$A$2:$A$300,0)),0)</f>
        <v>0</v>
      </c>
      <c r="L82" s="9">
        <f>IFERROR(INDEX('CB1 Bar'!$F$2:$F$300,MATCH(A82,'CB1 Bar'!$A$2:$A$300,0)),0)</f>
        <v>0</v>
      </c>
      <c r="M82" s="9">
        <f>IFERROR(INDEX('CB2 Bar'!$F$2:$F$300,MATCH(A82,'CB2 Bar'!$A$2:$A$300,0)),0)</f>
        <v>0</v>
      </c>
      <c r="N82" s="9">
        <f>IFERROR(INDEX('CB3 Bar'!$F$2:$F$300,MATCH(A82,'CB3 Bar'!$A$2:$A$300,0)),0)</f>
        <v>0</v>
      </c>
      <c r="O82" s="9">
        <f>IFERROR(INDEX('Spirits Room'!$F$2:$F$300,MATCH(A82,'Spirits Room'!$A$2:$A$300,0)),0)</f>
        <v>0</v>
      </c>
      <c r="P82" s="9">
        <f>IFERROR(INDEX('White Wine Fridge'!$F$2:$F$300,MATCH(A82,'White Wine Fridge'!$A$2:$A$300,0)),0)</f>
        <v>0</v>
      </c>
      <c r="Q82" s="9">
        <f>IFERROR(INDEX('Lower Keg'!$F$2:$F$300,MATCH(A82,'Lower Keg'!$A$2:$A$300,0)),0)</f>
        <v>0</v>
      </c>
      <c r="R82" s="9">
        <f>IFERROR(INDEX('Botanical Storeroom'!$F$2:$F$300,MATCH(A82,'Botanical Storeroom'!$A$2:$A$300,0)),0)</f>
        <v>0</v>
      </c>
      <c r="S82" s="9">
        <f>IFERROR(INDEX('Botanical Bar'!$F$2:$F$300,MATCH(A82,'Botanical Bar'!$A$2:$A$300,0)),0)</f>
        <v>0</v>
      </c>
      <c r="T82" s="9">
        <f>IFERROR(INDEX('Loading Dock Fridge'!$F$2:$F$300,MATCH(A82,'Loading Dock Fridge'!$A$2:$A$300,0)),0)</f>
        <v>0</v>
      </c>
      <c r="U82" s="9">
        <f>IFERROR(INDEX('Postmix Loading Dock'!$F$2:$F$300,MATCH(A82,'Postmix Loading Dock'!$A$2:$A$300,0)),0)</f>
        <v>0</v>
      </c>
      <c r="V82" s="9">
        <f>IFERROR(INDEX('Postmix Lower Keg'!$F$2:$F$300,MATCH(A82,'Postmix Lower Keg'!$A$2:$A$300,0)),0)</f>
        <v>0</v>
      </c>
      <c r="W82" s="10">
        <f>IFERROR(INDEX('Postmix TWR'!$F$2:$F$300,MATCH(A82,'Postmix TWR'!$A$2:$A$300,0)),0)</f>
        <v>0</v>
      </c>
    </row>
    <row r="83" spans="1:23" x14ac:dyDescent="0.35">
      <c r="A83" s="8">
        <v>62944</v>
      </c>
      <c r="B83" s="9" t="s">
        <v>118</v>
      </c>
      <c r="C83" s="9" t="s">
        <v>100</v>
      </c>
      <c r="D83" s="9" t="s">
        <v>124</v>
      </c>
      <c r="E83" s="17">
        <v>6</v>
      </c>
      <c r="F83" s="23">
        <f t="shared" si="2"/>
        <v>0</v>
      </c>
      <c r="G83" s="9">
        <f>IFERROR(INDEX('Juice Fridge'!$F$2:$F$300,MATCH(A83,'Juice Fridge'!$A$2:$A$300,0)),0)</f>
        <v>0</v>
      </c>
      <c r="H83" s="9">
        <f>IFERROR(INDEX('Upper Keg'!$F$2:$F$300,MATCH(A83,'Upper Keg'!$A$2:$A$300,0)),0)</f>
        <v>0</v>
      </c>
      <c r="I83" s="9">
        <f>IFERROR(INDEX('Astral Bar'!$F$2:$F$300,MATCH(A83,'Astral Bar'!$A$2:$A$300,0)),0)</f>
        <v>0</v>
      </c>
      <c r="J83" s="9">
        <f>IFERROR(INDEX('GB1 Bar'!$F$2:$F$300,MATCH(A83,'GB1 Bar'!$A$2:$A$300,0)),0)</f>
        <v>0</v>
      </c>
      <c r="K83" s="9">
        <f>IFERROR(INDEX('GB2 Bar'!$F$2:$F$300,MATCH(A83,'GB2 Bar'!$A$2:$A$300,0)),0)</f>
        <v>0</v>
      </c>
      <c r="L83" s="9">
        <f>IFERROR(INDEX('CB1 Bar'!$F$2:$F$300,MATCH(A83,'CB1 Bar'!$A$2:$A$300,0)),0)</f>
        <v>0</v>
      </c>
      <c r="M83" s="9">
        <f>IFERROR(INDEX('CB2 Bar'!$F$2:$F$300,MATCH(A83,'CB2 Bar'!$A$2:$A$300,0)),0)</f>
        <v>0</v>
      </c>
      <c r="N83" s="9">
        <f>IFERROR(INDEX('CB3 Bar'!$F$2:$F$300,MATCH(A83,'CB3 Bar'!$A$2:$A$300,0)),0)</f>
        <v>0</v>
      </c>
      <c r="O83" s="9">
        <f>IFERROR(INDEX('Spirits Room'!$F$2:$F$300,MATCH(A83,'Spirits Room'!$A$2:$A$300,0)),0)</f>
        <v>0</v>
      </c>
      <c r="P83" s="9">
        <f>IFERROR(INDEX('White Wine Fridge'!$F$2:$F$300,MATCH(A83,'White Wine Fridge'!$A$2:$A$300,0)),0)</f>
        <v>0</v>
      </c>
      <c r="Q83" s="9">
        <f>IFERROR(INDEX('Lower Keg'!$F$2:$F$300,MATCH(A83,'Lower Keg'!$A$2:$A$300,0)),0)</f>
        <v>0</v>
      </c>
      <c r="R83" s="9">
        <f>IFERROR(INDEX('Botanical Storeroom'!$F$2:$F$300,MATCH(A83,'Botanical Storeroom'!$A$2:$A$300,0)),0)</f>
        <v>0</v>
      </c>
      <c r="S83" s="9">
        <f>IFERROR(INDEX('Botanical Bar'!$F$2:$F$300,MATCH(A83,'Botanical Bar'!$A$2:$A$300,0)),0)</f>
        <v>0</v>
      </c>
      <c r="T83" s="9">
        <f>IFERROR(INDEX('Loading Dock Fridge'!$F$2:$F$300,MATCH(A83,'Loading Dock Fridge'!$A$2:$A$300,0)),0)</f>
        <v>0</v>
      </c>
      <c r="U83" s="9">
        <f>IFERROR(INDEX('Postmix Loading Dock'!$F$2:$F$300,MATCH(A83,'Postmix Loading Dock'!$A$2:$A$300,0)),0)</f>
        <v>0</v>
      </c>
      <c r="V83" s="9">
        <f>IFERROR(INDEX('Postmix Lower Keg'!$F$2:$F$300,MATCH(A83,'Postmix Lower Keg'!$A$2:$A$300,0)),0)</f>
        <v>0</v>
      </c>
      <c r="W83" s="10">
        <f>IFERROR(INDEX('Postmix TWR'!$F$2:$F$300,MATCH(A83,'Postmix TWR'!$A$2:$A$300,0)),0)</f>
        <v>0</v>
      </c>
    </row>
    <row r="84" spans="1:23" x14ac:dyDescent="0.35">
      <c r="A84" s="8">
        <v>67349</v>
      </c>
      <c r="B84" s="9" t="s">
        <v>118</v>
      </c>
      <c r="C84" s="9" t="s">
        <v>100</v>
      </c>
      <c r="D84" s="9" t="s">
        <v>125</v>
      </c>
      <c r="E84" s="17">
        <v>6</v>
      </c>
      <c r="F84" s="23">
        <f t="shared" si="2"/>
        <v>0</v>
      </c>
      <c r="G84" s="9">
        <f>IFERROR(INDEX('Juice Fridge'!$F$2:$F$300,MATCH(A84,'Juice Fridge'!$A$2:$A$300,0)),0)</f>
        <v>0</v>
      </c>
      <c r="H84" s="9">
        <f>IFERROR(INDEX('Upper Keg'!$F$2:$F$300,MATCH(A84,'Upper Keg'!$A$2:$A$300,0)),0)</f>
        <v>0</v>
      </c>
      <c r="I84" s="9">
        <f>IFERROR(INDEX('Astral Bar'!$F$2:$F$300,MATCH(A84,'Astral Bar'!$A$2:$A$300,0)),0)</f>
        <v>0</v>
      </c>
      <c r="J84" s="9">
        <f>IFERROR(INDEX('GB1 Bar'!$F$2:$F$300,MATCH(A84,'GB1 Bar'!$A$2:$A$300,0)),0)</f>
        <v>0</v>
      </c>
      <c r="K84" s="9">
        <f>IFERROR(INDEX('GB2 Bar'!$F$2:$F$300,MATCH(A84,'GB2 Bar'!$A$2:$A$300,0)),0)</f>
        <v>0</v>
      </c>
      <c r="L84" s="9">
        <f>IFERROR(INDEX('CB1 Bar'!$F$2:$F$300,MATCH(A84,'CB1 Bar'!$A$2:$A$300,0)),0)</f>
        <v>0</v>
      </c>
      <c r="M84" s="9">
        <f>IFERROR(INDEX('CB2 Bar'!$F$2:$F$300,MATCH(A84,'CB2 Bar'!$A$2:$A$300,0)),0)</f>
        <v>0</v>
      </c>
      <c r="N84" s="9">
        <f>IFERROR(INDEX('CB3 Bar'!$F$2:$F$300,MATCH(A84,'CB3 Bar'!$A$2:$A$300,0)),0)</f>
        <v>0</v>
      </c>
      <c r="O84" s="9">
        <f>IFERROR(INDEX('Spirits Room'!$F$2:$F$300,MATCH(A84,'Spirits Room'!$A$2:$A$300,0)),0)</f>
        <v>0</v>
      </c>
      <c r="P84" s="9">
        <f>IFERROR(INDEX('White Wine Fridge'!$F$2:$F$300,MATCH(A84,'White Wine Fridge'!$A$2:$A$300,0)),0)</f>
        <v>0</v>
      </c>
      <c r="Q84" s="9">
        <f>IFERROR(INDEX('Lower Keg'!$F$2:$F$300,MATCH(A84,'Lower Keg'!$A$2:$A$300,0)),0)</f>
        <v>0</v>
      </c>
      <c r="R84" s="9">
        <f>IFERROR(INDEX('Botanical Storeroom'!$F$2:$F$300,MATCH(A84,'Botanical Storeroom'!$A$2:$A$300,0)),0)</f>
        <v>0</v>
      </c>
      <c r="S84" s="9">
        <f>IFERROR(INDEX('Botanical Bar'!$F$2:$F$300,MATCH(A84,'Botanical Bar'!$A$2:$A$300,0)),0)</f>
        <v>0</v>
      </c>
      <c r="T84" s="9">
        <f>IFERROR(INDEX('Loading Dock Fridge'!$F$2:$F$300,MATCH(A84,'Loading Dock Fridge'!$A$2:$A$300,0)),0)</f>
        <v>0</v>
      </c>
      <c r="U84" s="9">
        <f>IFERROR(INDEX('Postmix Loading Dock'!$F$2:$F$300,MATCH(A84,'Postmix Loading Dock'!$A$2:$A$300,0)),0)</f>
        <v>0</v>
      </c>
      <c r="V84" s="9">
        <f>IFERROR(INDEX('Postmix Lower Keg'!$F$2:$F$300,MATCH(A84,'Postmix Lower Keg'!$A$2:$A$300,0)),0)</f>
        <v>0</v>
      </c>
      <c r="W84" s="10">
        <f>IFERROR(INDEX('Postmix TWR'!$F$2:$F$300,MATCH(A84,'Postmix TWR'!$A$2:$A$300,0)),0)</f>
        <v>0</v>
      </c>
    </row>
    <row r="85" spans="1:23" x14ac:dyDescent="0.35">
      <c r="A85" s="8">
        <v>56309</v>
      </c>
      <c r="B85" s="9" t="s">
        <v>118</v>
      </c>
      <c r="C85" s="9" t="s">
        <v>100</v>
      </c>
      <c r="D85" s="9" t="s">
        <v>126</v>
      </c>
      <c r="E85" s="17">
        <v>6</v>
      </c>
      <c r="F85" s="23">
        <f t="shared" si="2"/>
        <v>0</v>
      </c>
      <c r="G85" s="9">
        <f>IFERROR(INDEX('Juice Fridge'!$F$2:$F$300,MATCH(A85,'Juice Fridge'!$A$2:$A$300,0)),0)</f>
        <v>0</v>
      </c>
      <c r="H85" s="9">
        <f>IFERROR(INDEX('Upper Keg'!$F$2:$F$300,MATCH(A85,'Upper Keg'!$A$2:$A$300,0)),0)</f>
        <v>0</v>
      </c>
      <c r="I85" s="9">
        <f>IFERROR(INDEX('Astral Bar'!$F$2:$F$300,MATCH(A85,'Astral Bar'!$A$2:$A$300,0)),0)</f>
        <v>0</v>
      </c>
      <c r="J85" s="9">
        <f>IFERROR(INDEX('GB1 Bar'!$F$2:$F$300,MATCH(A85,'GB1 Bar'!$A$2:$A$300,0)),0)</f>
        <v>0</v>
      </c>
      <c r="K85" s="9">
        <f>IFERROR(INDEX('GB2 Bar'!$F$2:$F$300,MATCH(A85,'GB2 Bar'!$A$2:$A$300,0)),0)</f>
        <v>0</v>
      </c>
      <c r="L85" s="9">
        <f>IFERROR(INDEX('CB1 Bar'!$F$2:$F$300,MATCH(A85,'CB1 Bar'!$A$2:$A$300,0)),0)</f>
        <v>0</v>
      </c>
      <c r="M85" s="9">
        <f>IFERROR(INDEX('CB2 Bar'!$F$2:$F$300,MATCH(A85,'CB2 Bar'!$A$2:$A$300,0)),0)</f>
        <v>0</v>
      </c>
      <c r="N85" s="9">
        <f>IFERROR(INDEX('CB3 Bar'!$F$2:$F$300,MATCH(A85,'CB3 Bar'!$A$2:$A$300,0)),0)</f>
        <v>0</v>
      </c>
      <c r="O85" s="9">
        <f>IFERROR(INDEX('Spirits Room'!$F$2:$F$300,MATCH(A85,'Spirits Room'!$A$2:$A$300,0)),0)</f>
        <v>0</v>
      </c>
      <c r="P85" s="9">
        <f>IFERROR(INDEX('White Wine Fridge'!$F$2:$F$300,MATCH(A85,'White Wine Fridge'!$A$2:$A$300,0)),0)</f>
        <v>0</v>
      </c>
      <c r="Q85" s="9">
        <f>IFERROR(INDEX('Lower Keg'!$F$2:$F$300,MATCH(A85,'Lower Keg'!$A$2:$A$300,0)),0)</f>
        <v>0</v>
      </c>
      <c r="R85" s="9">
        <f>IFERROR(INDEX('Botanical Storeroom'!$F$2:$F$300,MATCH(A85,'Botanical Storeroom'!$A$2:$A$300,0)),0)</f>
        <v>0</v>
      </c>
      <c r="S85" s="9">
        <f>IFERROR(INDEX('Botanical Bar'!$F$2:$F$300,MATCH(A85,'Botanical Bar'!$A$2:$A$300,0)),0)</f>
        <v>0</v>
      </c>
      <c r="T85" s="9">
        <f>IFERROR(INDEX('Loading Dock Fridge'!$F$2:$F$300,MATCH(A85,'Loading Dock Fridge'!$A$2:$A$300,0)),0)</f>
        <v>0</v>
      </c>
      <c r="U85" s="9">
        <f>IFERROR(INDEX('Postmix Loading Dock'!$F$2:$F$300,MATCH(A85,'Postmix Loading Dock'!$A$2:$A$300,0)),0)</f>
        <v>0</v>
      </c>
      <c r="V85" s="9">
        <f>IFERROR(INDEX('Postmix Lower Keg'!$F$2:$F$300,MATCH(A85,'Postmix Lower Keg'!$A$2:$A$300,0)),0)</f>
        <v>0</v>
      </c>
      <c r="W85" s="10">
        <f>IFERROR(INDEX('Postmix TWR'!$F$2:$F$300,MATCH(A85,'Postmix TWR'!$A$2:$A$300,0)),0)</f>
        <v>0</v>
      </c>
    </row>
    <row r="86" spans="1:23" x14ac:dyDescent="0.35">
      <c r="A86" s="8">
        <v>65226</v>
      </c>
      <c r="B86" s="9" t="s">
        <v>118</v>
      </c>
      <c r="C86" s="9" t="s">
        <v>100</v>
      </c>
      <c r="D86" s="9" t="s">
        <v>127</v>
      </c>
      <c r="E86" s="17">
        <v>6</v>
      </c>
      <c r="F86" s="23">
        <f t="shared" si="2"/>
        <v>0</v>
      </c>
      <c r="G86" s="9">
        <f>IFERROR(INDEX('Juice Fridge'!$F$2:$F$300,MATCH(A86,'Juice Fridge'!$A$2:$A$300,0)),0)</f>
        <v>0</v>
      </c>
      <c r="H86" s="9">
        <f>IFERROR(INDEX('Upper Keg'!$F$2:$F$300,MATCH(A86,'Upper Keg'!$A$2:$A$300,0)),0)</f>
        <v>0</v>
      </c>
      <c r="I86" s="9">
        <f>IFERROR(INDEX('Astral Bar'!$F$2:$F$300,MATCH(A86,'Astral Bar'!$A$2:$A$300,0)),0)</f>
        <v>0</v>
      </c>
      <c r="J86" s="9">
        <f>IFERROR(INDEX('GB1 Bar'!$F$2:$F$300,MATCH(A86,'GB1 Bar'!$A$2:$A$300,0)),0)</f>
        <v>0</v>
      </c>
      <c r="K86" s="9">
        <f>IFERROR(INDEX('GB2 Bar'!$F$2:$F$300,MATCH(A86,'GB2 Bar'!$A$2:$A$300,0)),0)</f>
        <v>0</v>
      </c>
      <c r="L86" s="9">
        <f>IFERROR(INDEX('CB1 Bar'!$F$2:$F$300,MATCH(A86,'CB1 Bar'!$A$2:$A$300,0)),0)</f>
        <v>0</v>
      </c>
      <c r="M86" s="9">
        <f>IFERROR(INDEX('CB2 Bar'!$F$2:$F$300,MATCH(A86,'CB2 Bar'!$A$2:$A$300,0)),0)</f>
        <v>0</v>
      </c>
      <c r="N86" s="9">
        <f>IFERROR(INDEX('CB3 Bar'!$F$2:$F$300,MATCH(A86,'CB3 Bar'!$A$2:$A$300,0)),0)</f>
        <v>0</v>
      </c>
      <c r="O86" s="9">
        <f>IFERROR(INDEX('Spirits Room'!$F$2:$F$300,MATCH(A86,'Spirits Room'!$A$2:$A$300,0)),0)</f>
        <v>0</v>
      </c>
      <c r="P86" s="9">
        <f>IFERROR(INDEX('White Wine Fridge'!$F$2:$F$300,MATCH(A86,'White Wine Fridge'!$A$2:$A$300,0)),0)</f>
        <v>0</v>
      </c>
      <c r="Q86" s="9">
        <f>IFERROR(INDEX('Lower Keg'!$F$2:$F$300,MATCH(A86,'Lower Keg'!$A$2:$A$300,0)),0)</f>
        <v>0</v>
      </c>
      <c r="R86" s="9">
        <f>IFERROR(INDEX('Botanical Storeroom'!$F$2:$F$300,MATCH(A86,'Botanical Storeroom'!$A$2:$A$300,0)),0)</f>
        <v>0</v>
      </c>
      <c r="S86" s="9">
        <f>IFERROR(INDEX('Botanical Bar'!$F$2:$F$300,MATCH(A86,'Botanical Bar'!$A$2:$A$300,0)),0)</f>
        <v>0</v>
      </c>
      <c r="T86" s="9">
        <f>IFERROR(INDEX('Loading Dock Fridge'!$F$2:$F$300,MATCH(A86,'Loading Dock Fridge'!$A$2:$A$300,0)),0)</f>
        <v>0</v>
      </c>
      <c r="U86" s="9">
        <f>IFERROR(INDEX('Postmix Loading Dock'!$F$2:$F$300,MATCH(A86,'Postmix Loading Dock'!$A$2:$A$300,0)),0)</f>
        <v>0</v>
      </c>
      <c r="V86" s="9">
        <f>IFERROR(INDEX('Postmix Lower Keg'!$F$2:$F$300,MATCH(A86,'Postmix Lower Keg'!$A$2:$A$300,0)),0)</f>
        <v>0</v>
      </c>
      <c r="W86" s="10">
        <f>IFERROR(INDEX('Postmix TWR'!$F$2:$F$300,MATCH(A86,'Postmix TWR'!$A$2:$A$300,0)),0)</f>
        <v>0</v>
      </c>
    </row>
    <row r="87" spans="1:23" x14ac:dyDescent="0.35">
      <c r="A87" s="8">
        <v>43634</v>
      </c>
      <c r="B87" s="9" t="s">
        <v>118</v>
      </c>
      <c r="C87" s="9" t="s">
        <v>100</v>
      </c>
      <c r="D87" s="9" t="s">
        <v>128</v>
      </c>
      <c r="E87" s="17">
        <v>12</v>
      </c>
      <c r="F87" s="23">
        <f t="shared" si="2"/>
        <v>0</v>
      </c>
      <c r="G87" s="9">
        <f>IFERROR(INDEX('Juice Fridge'!$F$2:$F$300,MATCH(A87,'Juice Fridge'!$A$2:$A$300,0)),0)</f>
        <v>0</v>
      </c>
      <c r="H87" s="9">
        <f>IFERROR(INDEX('Upper Keg'!$F$2:$F$300,MATCH(A87,'Upper Keg'!$A$2:$A$300,0)),0)</f>
        <v>0</v>
      </c>
      <c r="I87" s="9">
        <f>IFERROR(INDEX('Astral Bar'!$F$2:$F$300,MATCH(A87,'Astral Bar'!$A$2:$A$300,0)),0)</f>
        <v>0</v>
      </c>
      <c r="J87" s="9">
        <f>IFERROR(INDEX('GB1 Bar'!$F$2:$F$300,MATCH(A87,'GB1 Bar'!$A$2:$A$300,0)),0)</f>
        <v>0</v>
      </c>
      <c r="K87" s="9">
        <f>IFERROR(INDEX('GB2 Bar'!$F$2:$F$300,MATCH(A87,'GB2 Bar'!$A$2:$A$300,0)),0)</f>
        <v>0</v>
      </c>
      <c r="L87" s="9">
        <f>IFERROR(INDEX('CB1 Bar'!$F$2:$F$300,MATCH(A87,'CB1 Bar'!$A$2:$A$300,0)),0)</f>
        <v>0</v>
      </c>
      <c r="M87" s="9">
        <f>IFERROR(INDEX('CB2 Bar'!$F$2:$F$300,MATCH(A87,'CB2 Bar'!$A$2:$A$300,0)),0)</f>
        <v>0</v>
      </c>
      <c r="N87" s="9">
        <f>IFERROR(INDEX('CB3 Bar'!$F$2:$F$300,MATCH(A87,'CB3 Bar'!$A$2:$A$300,0)),0)</f>
        <v>0</v>
      </c>
      <c r="O87" s="9">
        <f>IFERROR(INDEX('Spirits Room'!$F$2:$F$300,MATCH(A87,'Spirits Room'!$A$2:$A$300,0)),0)</f>
        <v>0</v>
      </c>
      <c r="P87" s="9">
        <f>IFERROR(INDEX('White Wine Fridge'!$F$2:$F$300,MATCH(A87,'White Wine Fridge'!$A$2:$A$300,0)),0)</f>
        <v>0</v>
      </c>
      <c r="Q87" s="9">
        <f>IFERROR(INDEX('Lower Keg'!$F$2:$F$300,MATCH(A87,'Lower Keg'!$A$2:$A$300,0)),0)</f>
        <v>0</v>
      </c>
      <c r="R87" s="9">
        <f>IFERROR(INDEX('Botanical Storeroom'!$F$2:$F$300,MATCH(A87,'Botanical Storeroom'!$A$2:$A$300,0)),0)</f>
        <v>0</v>
      </c>
      <c r="S87" s="9">
        <f>IFERROR(INDEX('Botanical Bar'!$F$2:$F$300,MATCH(A87,'Botanical Bar'!$A$2:$A$300,0)),0)</f>
        <v>0</v>
      </c>
      <c r="T87" s="9">
        <f>IFERROR(INDEX('Loading Dock Fridge'!$F$2:$F$300,MATCH(A87,'Loading Dock Fridge'!$A$2:$A$300,0)),0)</f>
        <v>0</v>
      </c>
      <c r="U87" s="9">
        <f>IFERROR(INDEX('Postmix Loading Dock'!$F$2:$F$300,MATCH(A87,'Postmix Loading Dock'!$A$2:$A$300,0)),0)</f>
        <v>0</v>
      </c>
      <c r="V87" s="9">
        <f>IFERROR(INDEX('Postmix Lower Keg'!$F$2:$F$300,MATCH(A87,'Postmix Lower Keg'!$A$2:$A$300,0)),0)</f>
        <v>0</v>
      </c>
      <c r="W87" s="10">
        <f>IFERROR(INDEX('Postmix TWR'!$F$2:$F$300,MATCH(A87,'Postmix TWR'!$A$2:$A$300,0)),0)</f>
        <v>0</v>
      </c>
    </row>
    <row r="88" spans="1:23" x14ac:dyDescent="0.35">
      <c r="A88" s="8">
        <v>56067</v>
      </c>
      <c r="B88" s="9" t="s">
        <v>129</v>
      </c>
      <c r="C88" s="9" t="s">
        <v>100</v>
      </c>
      <c r="D88" s="9" t="s">
        <v>130</v>
      </c>
      <c r="E88" s="17">
        <v>6</v>
      </c>
      <c r="F88" s="23">
        <f t="shared" si="2"/>
        <v>0</v>
      </c>
      <c r="G88" s="9">
        <f>IFERROR(INDEX('Juice Fridge'!$F$2:$F$300,MATCH(A88,'Juice Fridge'!$A$2:$A$300,0)),0)</f>
        <v>0</v>
      </c>
      <c r="H88" s="9">
        <f>IFERROR(INDEX('Upper Keg'!$F$2:$F$300,MATCH(A88,'Upper Keg'!$A$2:$A$300,0)),0)</f>
        <v>0</v>
      </c>
      <c r="I88" s="9">
        <f>IFERROR(INDEX('Astral Bar'!$F$2:$F$300,MATCH(A88,'Astral Bar'!$A$2:$A$300,0)),0)</f>
        <v>0</v>
      </c>
      <c r="J88" s="9">
        <f>IFERROR(INDEX('GB1 Bar'!$F$2:$F$300,MATCH(A88,'GB1 Bar'!$A$2:$A$300,0)),0)</f>
        <v>0</v>
      </c>
      <c r="K88" s="9">
        <f>IFERROR(INDEX('GB2 Bar'!$F$2:$F$300,MATCH(A88,'GB2 Bar'!$A$2:$A$300,0)),0)</f>
        <v>0</v>
      </c>
      <c r="L88" s="9">
        <f>IFERROR(INDEX('CB1 Bar'!$F$2:$F$300,MATCH(A88,'CB1 Bar'!$A$2:$A$300,0)),0)</f>
        <v>0</v>
      </c>
      <c r="M88" s="9">
        <f>IFERROR(INDEX('CB2 Bar'!$F$2:$F$300,MATCH(A88,'CB2 Bar'!$A$2:$A$300,0)),0)</f>
        <v>0</v>
      </c>
      <c r="N88" s="9">
        <f>IFERROR(INDEX('CB3 Bar'!$F$2:$F$300,MATCH(A88,'CB3 Bar'!$A$2:$A$300,0)),0)</f>
        <v>0</v>
      </c>
      <c r="O88" s="9">
        <f>IFERROR(INDEX('Spirits Room'!$F$2:$F$300,MATCH(A88,'Spirits Room'!$A$2:$A$300,0)),0)</f>
        <v>0</v>
      </c>
      <c r="P88" s="9">
        <f>IFERROR(INDEX('White Wine Fridge'!$F$2:$F$300,MATCH(A88,'White Wine Fridge'!$A$2:$A$300,0)),0)</f>
        <v>0</v>
      </c>
      <c r="Q88" s="9">
        <f>IFERROR(INDEX('Lower Keg'!$F$2:$F$300,MATCH(A88,'Lower Keg'!$A$2:$A$300,0)),0)</f>
        <v>0</v>
      </c>
      <c r="R88" s="9">
        <f>IFERROR(INDEX('Botanical Storeroom'!$F$2:$F$300,MATCH(A88,'Botanical Storeroom'!$A$2:$A$300,0)),0)</f>
        <v>0</v>
      </c>
      <c r="S88" s="9">
        <f>IFERROR(INDEX('Botanical Bar'!$F$2:$F$300,MATCH(A88,'Botanical Bar'!$A$2:$A$300,0)),0)</f>
        <v>0</v>
      </c>
      <c r="T88" s="9">
        <f>IFERROR(INDEX('Loading Dock Fridge'!$F$2:$F$300,MATCH(A88,'Loading Dock Fridge'!$A$2:$A$300,0)),0)</f>
        <v>0</v>
      </c>
      <c r="U88" s="9">
        <f>IFERROR(INDEX('Postmix Loading Dock'!$F$2:$F$300,MATCH(A88,'Postmix Loading Dock'!$A$2:$A$300,0)),0)</f>
        <v>0</v>
      </c>
      <c r="V88" s="9">
        <f>IFERROR(INDEX('Postmix Lower Keg'!$F$2:$F$300,MATCH(A88,'Postmix Lower Keg'!$A$2:$A$300,0)),0)</f>
        <v>0</v>
      </c>
      <c r="W88" s="10">
        <f>IFERROR(INDEX('Postmix TWR'!$F$2:$F$300,MATCH(A88,'Postmix TWR'!$A$2:$A$300,0)),0)</f>
        <v>0</v>
      </c>
    </row>
    <row r="89" spans="1:23" x14ac:dyDescent="0.35">
      <c r="A89" s="8">
        <v>63301</v>
      </c>
      <c r="B89" s="9" t="s">
        <v>129</v>
      </c>
      <c r="C89" s="9" t="s">
        <v>100</v>
      </c>
      <c r="D89" s="9" t="s">
        <v>131</v>
      </c>
      <c r="E89" s="17">
        <v>6</v>
      </c>
      <c r="F89" s="23">
        <f t="shared" si="2"/>
        <v>0</v>
      </c>
      <c r="G89" s="9">
        <f>IFERROR(INDEX('Juice Fridge'!$F$2:$F$300,MATCH(A89,'Juice Fridge'!$A$2:$A$300,0)),0)</f>
        <v>0</v>
      </c>
      <c r="H89" s="9">
        <f>IFERROR(INDEX('Upper Keg'!$F$2:$F$300,MATCH(A89,'Upper Keg'!$A$2:$A$300,0)),0)</f>
        <v>0</v>
      </c>
      <c r="I89" s="9">
        <f>IFERROR(INDEX('Astral Bar'!$F$2:$F$300,MATCH(A89,'Astral Bar'!$A$2:$A$300,0)),0)</f>
        <v>0</v>
      </c>
      <c r="J89" s="9">
        <f>IFERROR(INDEX('GB1 Bar'!$F$2:$F$300,MATCH(A89,'GB1 Bar'!$A$2:$A$300,0)),0)</f>
        <v>0</v>
      </c>
      <c r="K89" s="9">
        <f>IFERROR(INDEX('GB2 Bar'!$F$2:$F$300,MATCH(A89,'GB2 Bar'!$A$2:$A$300,0)),0)</f>
        <v>0</v>
      </c>
      <c r="L89" s="9">
        <f>IFERROR(INDEX('CB1 Bar'!$F$2:$F$300,MATCH(A89,'CB1 Bar'!$A$2:$A$300,0)),0)</f>
        <v>0</v>
      </c>
      <c r="M89" s="9">
        <f>IFERROR(INDEX('CB2 Bar'!$F$2:$F$300,MATCH(A89,'CB2 Bar'!$A$2:$A$300,0)),0)</f>
        <v>0</v>
      </c>
      <c r="N89" s="9">
        <f>IFERROR(INDEX('CB3 Bar'!$F$2:$F$300,MATCH(A89,'CB3 Bar'!$A$2:$A$300,0)),0)</f>
        <v>0</v>
      </c>
      <c r="O89" s="9">
        <f>IFERROR(INDEX('Spirits Room'!$F$2:$F$300,MATCH(A89,'Spirits Room'!$A$2:$A$300,0)),0)</f>
        <v>0</v>
      </c>
      <c r="P89" s="9">
        <f>IFERROR(INDEX('White Wine Fridge'!$F$2:$F$300,MATCH(A89,'White Wine Fridge'!$A$2:$A$300,0)),0)</f>
        <v>0</v>
      </c>
      <c r="Q89" s="9">
        <f>IFERROR(INDEX('Lower Keg'!$F$2:$F$300,MATCH(A89,'Lower Keg'!$A$2:$A$300,0)),0)</f>
        <v>0</v>
      </c>
      <c r="R89" s="9">
        <f>IFERROR(INDEX('Botanical Storeroom'!$F$2:$F$300,MATCH(A89,'Botanical Storeroom'!$A$2:$A$300,0)),0)</f>
        <v>0</v>
      </c>
      <c r="S89" s="9">
        <f>IFERROR(INDEX('Botanical Bar'!$F$2:$F$300,MATCH(A89,'Botanical Bar'!$A$2:$A$300,0)),0)</f>
        <v>0</v>
      </c>
      <c r="T89" s="9">
        <f>IFERROR(INDEX('Loading Dock Fridge'!$F$2:$F$300,MATCH(A89,'Loading Dock Fridge'!$A$2:$A$300,0)),0)</f>
        <v>0</v>
      </c>
      <c r="U89" s="9">
        <f>IFERROR(INDEX('Postmix Loading Dock'!$F$2:$F$300,MATCH(A89,'Postmix Loading Dock'!$A$2:$A$300,0)),0)</f>
        <v>0</v>
      </c>
      <c r="V89" s="9">
        <f>IFERROR(INDEX('Postmix Lower Keg'!$F$2:$F$300,MATCH(A89,'Postmix Lower Keg'!$A$2:$A$300,0)),0)</f>
        <v>0</v>
      </c>
      <c r="W89" s="10">
        <f>IFERROR(INDEX('Postmix TWR'!$F$2:$F$300,MATCH(A89,'Postmix TWR'!$A$2:$A$300,0)),0)</f>
        <v>0</v>
      </c>
    </row>
    <row r="90" spans="1:23" x14ac:dyDescent="0.35">
      <c r="A90" s="8">
        <v>52415</v>
      </c>
      <c r="B90" s="9" t="s">
        <v>129</v>
      </c>
      <c r="C90" s="9" t="s">
        <v>100</v>
      </c>
      <c r="D90" s="9" t="s">
        <v>132</v>
      </c>
      <c r="E90" s="17">
        <v>12</v>
      </c>
      <c r="F90" s="23">
        <f t="shared" si="2"/>
        <v>0</v>
      </c>
      <c r="G90" s="9">
        <f>IFERROR(INDEX('Juice Fridge'!$F$2:$F$300,MATCH(A90,'Juice Fridge'!$A$2:$A$300,0)),0)</f>
        <v>0</v>
      </c>
      <c r="H90" s="9">
        <f>IFERROR(INDEX('Upper Keg'!$F$2:$F$300,MATCH(A90,'Upper Keg'!$A$2:$A$300,0)),0)</f>
        <v>0</v>
      </c>
      <c r="I90" s="9">
        <f>IFERROR(INDEX('Astral Bar'!$F$2:$F$300,MATCH(A90,'Astral Bar'!$A$2:$A$300,0)),0)</f>
        <v>0</v>
      </c>
      <c r="J90" s="9">
        <f>IFERROR(INDEX('GB1 Bar'!$F$2:$F$300,MATCH(A90,'GB1 Bar'!$A$2:$A$300,0)),0)</f>
        <v>0</v>
      </c>
      <c r="K90" s="9">
        <f>IFERROR(INDEX('GB2 Bar'!$F$2:$F$300,MATCH(A90,'GB2 Bar'!$A$2:$A$300,0)),0)</f>
        <v>0</v>
      </c>
      <c r="L90" s="9">
        <f>IFERROR(INDEX('CB1 Bar'!$F$2:$F$300,MATCH(A90,'CB1 Bar'!$A$2:$A$300,0)),0)</f>
        <v>0</v>
      </c>
      <c r="M90" s="9">
        <f>IFERROR(INDEX('CB2 Bar'!$F$2:$F$300,MATCH(A90,'CB2 Bar'!$A$2:$A$300,0)),0)</f>
        <v>0</v>
      </c>
      <c r="N90" s="9">
        <f>IFERROR(INDEX('CB3 Bar'!$F$2:$F$300,MATCH(A90,'CB3 Bar'!$A$2:$A$300,0)),0)</f>
        <v>0</v>
      </c>
      <c r="O90" s="9">
        <f>IFERROR(INDEX('Spirits Room'!$F$2:$F$300,MATCH(A90,'Spirits Room'!$A$2:$A$300,0)),0)</f>
        <v>0</v>
      </c>
      <c r="P90" s="9">
        <f>IFERROR(INDEX('White Wine Fridge'!$F$2:$F$300,MATCH(A90,'White Wine Fridge'!$A$2:$A$300,0)),0)</f>
        <v>0</v>
      </c>
      <c r="Q90" s="9">
        <f>IFERROR(INDEX('Lower Keg'!$F$2:$F$300,MATCH(A90,'Lower Keg'!$A$2:$A$300,0)),0)</f>
        <v>0</v>
      </c>
      <c r="R90" s="9">
        <f>IFERROR(INDEX('Botanical Storeroom'!$F$2:$F$300,MATCH(A90,'Botanical Storeroom'!$A$2:$A$300,0)),0)</f>
        <v>0</v>
      </c>
      <c r="S90" s="9">
        <f>IFERROR(INDEX('Botanical Bar'!$F$2:$F$300,MATCH(A90,'Botanical Bar'!$A$2:$A$300,0)),0)</f>
        <v>0</v>
      </c>
      <c r="T90" s="9">
        <f>IFERROR(INDEX('Loading Dock Fridge'!$F$2:$F$300,MATCH(A90,'Loading Dock Fridge'!$A$2:$A$300,0)),0)</f>
        <v>0</v>
      </c>
      <c r="U90" s="9">
        <f>IFERROR(INDEX('Postmix Loading Dock'!$F$2:$F$300,MATCH(A90,'Postmix Loading Dock'!$A$2:$A$300,0)),0)</f>
        <v>0</v>
      </c>
      <c r="V90" s="9">
        <f>IFERROR(INDEX('Postmix Lower Keg'!$F$2:$F$300,MATCH(A90,'Postmix Lower Keg'!$A$2:$A$300,0)),0)</f>
        <v>0</v>
      </c>
      <c r="W90" s="10">
        <f>IFERROR(INDEX('Postmix TWR'!$F$2:$F$300,MATCH(A90,'Postmix TWR'!$A$2:$A$300,0)),0)</f>
        <v>0</v>
      </c>
    </row>
    <row r="91" spans="1:23" x14ac:dyDescent="0.35">
      <c r="A91" s="8">
        <v>53020</v>
      </c>
      <c r="B91" s="9" t="s">
        <v>129</v>
      </c>
      <c r="C91" s="9" t="s">
        <v>100</v>
      </c>
      <c r="D91" s="9" t="s">
        <v>133</v>
      </c>
      <c r="E91" s="17">
        <v>6</v>
      </c>
      <c r="F91" s="23">
        <f t="shared" si="2"/>
        <v>0</v>
      </c>
      <c r="G91" s="9">
        <f>IFERROR(INDEX('Juice Fridge'!$F$2:$F$300,MATCH(A91,'Juice Fridge'!$A$2:$A$300,0)),0)</f>
        <v>0</v>
      </c>
      <c r="H91" s="9">
        <f>IFERROR(INDEX('Upper Keg'!$F$2:$F$300,MATCH(A91,'Upper Keg'!$A$2:$A$300,0)),0)</f>
        <v>0</v>
      </c>
      <c r="I91" s="9">
        <f>IFERROR(INDEX('Astral Bar'!$F$2:$F$300,MATCH(A91,'Astral Bar'!$A$2:$A$300,0)),0)</f>
        <v>0</v>
      </c>
      <c r="J91" s="9">
        <f>IFERROR(INDEX('GB1 Bar'!$F$2:$F$300,MATCH(A91,'GB1 Bar'!$A$2:$A$300,0)),0)</f>
        <v>0</v>
      </c>
      <c r="K91" s="9">
        <f>IFERROR(INDEX('GB2 Bar'!$F$2:$F$300,MATCH(A91,'GB2 Bar'!$A$2:$A$300,0)),0)</f>
        <v>0</v>
      </c>
      <c r="L91" s="9">
        <f>IFERROR(INDEX('CB1 Bar'!$F$2:$F$300,MATCH(A91,'CB1 Bar'!$A$2:$A$300,0)),0)</f>
        <v>0</v>
      </c>
      <c r="M91" s="9">
        <f>IFERROR(INDEX('CB2 Bar'!$F$2:$F$300,MATCH(A91,'CB2 Bar'!$A$2:$A$300,0)),0)</f>
        <v>0</v>
      </c>
      <c r="N91" s="9">
        <f>IFERROR(INDEX('CB3 Bar'!$F$2:$F$300,MATCH(A91,'CB3 Bar'!$A$2:$A$300,0)),0)</f>
        <v>0</v>
      </c>
      <c r="O91" s="9">
        <f>IFERROR(INDEX('Spirits Room'!$F$2:$F$300,MATCH(A91,'Spirits Room'!$A$2:$A$300,0)),0)</f>
        <v>0</v>
      </c>
      <c r="P91" s="9">
        <f>IFERROR(INDEX('White Wine Fridge'!$F$2:$F$300,MATCH(A91,'White Wine Fridge'!$A$2:$A$300,0)),0)</f>
        <v>0</v>
      </c>
      <c r="Q91" s="9">
        <f>IFERROR(INDEX('Lower Keg'!$F$2:$F$300,MATCH(A91,'Lower Keg'!$A$2:$A$300,0)),0)</f>
        <v>0</v>
      </c>
      <c r="R91" s="9">
        <f>IFERROR(INDEX('Botanical Storeroom'!$F$2:$F$300,MATCH(A91,'Botanical Storeroom'!$A$2:$A$300,0)),0)</f>
        <v>0</v>
      </c>
      <c r="S91" s="9">
        <f>IFERROR(INDEX('Botanical Bar'!$F$2:$F$300,MATCH(A91,'Botanical Bar'!$A$2:$A$300,0)),0)</f>
        <v>0</v>
      </c>
      <c r="T91" s="9">
        <f>IFERROR(INDEX('Loading Dock Fridge'!$F$2:$F$300,MATCH(A91,'Loading Dock Fridge'!$A$2:$A$300,0)),0)</f>
        <v>0</v>
      </c>
      <c r="U91" s="9">
        <f>IFERROR(INDEX('Postmix Loading Dock'!$F$2:$F$300,MATCH(A91,'Postmix Loading Dock'!$A$2:$A$300,0)),0)</f>
        <v>0</v>
      </c>
      <c r="V91" s="9">
        <f>IFERROR(INDEX('Postmix Lower Keg'!$F$2:$F$300,MATCH(A91,'Postmix Lower Keg'!$A$2:$A$300,0)),0)</f>
        <v>0</v>
      </c>
      <c r="W91" s="10">
        <f>IFERROR(INDEX('Postmix TWR'!$F$2:$F$300,MATCH(A91,'Postmix TWR'!$A$2:$A$300,0)),0)</f>
        <v>0</v>
      </c>
    </row>
    <row r="92" spans="1:23" x14ac:dyDescent="0.35">
      <c r="A92" s="8">
        <v>36935</v>
      </c>
      <c r="B92" s="9" t="s">
        <v>129</v>
      </c>
      <c r="C92" s="9" t="s">
        <v>100</v>
      </c>
      <c r="D92" s="9" t="s">
        <v>134</v>
      </c>
      <c r="E92" s="17">
        <v>12</v>
      </c>
      <c r="F92" s="23">
        <f t="shared" si="2"/>
        <v>0</v>
      </c>
      <c r="G92" s="9">
        <f>IFERROR(INDEX('Juice Fridge'!$F$2:$F$300,MATCH(A92,'Juice Fridge'!$A$2:$A$300,0)),0)</f>
        <v>0</v>
      </c>
      <c r="H92" s="9">
        <f>IFERROR(INDEX('Upper Keg'!$F$2:$F$300,MATCH(A92,'Upper Keg'!$A$2:$A$300,0)),0)</f>
        <v>0</v>
      </c>
      <c r="I92" s="9">
        <f>IFERROR(INDEX('Astral Bar'!$F$2:$F$300,MATCH(A92,'Astral Bar'!$A$2:$A$300,0)),0)</f>
        <v>0</v>
      </c>
      <c r="J92" s="9">
        <f>IFERROR(INDEX('GB1 Bar'!$F$2:$F$300,MATCH(A92,'GB1 Bar'!$A$2:$A$300,0)),0)</f>
        <v>0</v>
      </c>
      <c r="K92" s="9">
        <f>IFERROR(INDEX('GB2 Bar'!$F$2:$F$300,MATCH(A92,'GB2 Bar'!$A$2:$A$300,0)),0)</f>
        <v>0</v>
      </c>
      <c r="L92" s="9">
        <f>IFERROR(INDEX('CB1 Bar'!$F$2:$F$300,MATCH(A92,'CB1 Bar'!$A$2:$A$300,0)),0)</f>
        <v>0</v>
      </c>
      <c r="M92" s="9">
        <f>IFERROR(INDEX('CB2 Bar'!$F$2:$F$300,MATCH(A92,'CB2 Bar'!$A$2:$A$300,0)),0)</f>
        <v>0</v>
      </c>
      <c r="N92" s="9">
        <f>IFERROR(INDEX('CB3 Bar'!$F$2:$F$300,MATCH(A92,'CB3 Bar'!$A$2:$A$300,0)),0)</f>
        <v>0</v>
      </c>
      <c r="O92" s="9">
        <f>IFERROR(INDEX('Spirits Room'!$F$2:$F$300,MATCH(A92,'Spirits Room'!$A$2:$A$300,0)),0)</f>
        <v>0</v>
      </c>
      <c r="P92" s="9">
        <f>IFERROR(INDEX('White Wine Fridge'!$F$2:$F$300,MATCH(A92,'White Wine Fridge'!$A$2:$A$300,0)),0)</f>
        <v>0</v>
      </c>
      <c r="Q92" s="9">
        <f>IFERROR(INDEX('Lower Keg'!$F$2:$F$300,MATCH(A92,'Lower Keg'!$A$2:$A$300,0)),0)</f>
        <v>0</v>
      </c>
      <c r="R92" s="9">
        <f>IFERROR(INDEX('Botanical Storeroom'!$F$2:$F$300,MATCH(A92,'Botanical Storeroom'!$A$2:$A$300,0)),0)</f>
        <v>0</v>
      </c>
      <c r="S92" s="9">
        <f>IFERROR(INDEX('Botanical Bar'!$F$2:$F$300,MATCH(A92,'Botanical Bar'!$A$2:$A$300,0)),0)</f>
        <v>0</v>
      </c>
      <c r="T92" s="9">
        <f>IFERROR(INDEX('Loading Dock Fridge'!$F$2:$F$300,MATCH(A92,'Loading Dock Fridge'!$A$2:$A$300,0)),0)</f>
        <v>0</v>
      </c>
      <c r="U92" s="9">
        <f>IFERROR(INDEX('Postmix Loading Dock'!$F$2:$F$300,MATCH(A92,'Postmix Loading Dock'!$A$2:$A$300,0)),0)</f>
        <v>0</v>
      </c>
      <c r="V92" s="9">
        <f>IFERROR(INDEX('Postmix Lower Keg'!$F$2:$F$300,MATCH(A92,'Postmix Lower Keg'!$A$2:$A$300,0)),0)</f>
        <v>0</v>
      </c>
      <c r="W92" s="10">
        <f>IFERROR(INDEX('Postmix TWR'!$F$2:$F$300,MATCH(A92,'Postmix TWR'!$A$2:$A$300,0)),0)</f>
        <v>0</v>
      </c>
    </row>
    <row r="93" spans="1:23" x14ac:dyDescent="0.35">
      <c r="A93" s="8">
        <v>20514</v>
      </c>
      <c r="B93" s="9" t="s">
        <v>135</v>
      </c>
      <c r="C93" s="9" t="s">
        <v>136</v>
      </c>
      <c r="D93" s="9" t="s">
        <v>137</v>
      </c>
      <c r="E93" s="17">
        <v>6</v>
      </c>
      <c r="F93" s="23">
        <f t="shared" si="2"/>
        <v>0</v>
      </c>
      <c r="G93" s="9">
        <f>IFERROR(INDEX('Juice Fridge'!$F$2:$F$300,MATCH(A93,'Juice Fridge'!$A$2:$A$300,0)),0)</f>
        <v>0</v>
      </c>
      <c r="H93" s="9">
        <f>IFERROR(INDEX('Upper Keg'!$F$2:$F$300,MATCH(A93,'Upper Keg'!$A$2:$A$300,0)),0)</f>
        <v>0</v>
      </c>
      <c r="I93" s="9">
        <f>IFERROR(INDEX('Astral Bar'!$F$2:$F$300,MATCH(A93,'Astral Bar'!$A$2:$A$300,0)),0)</f>
        <v>0</v>
      </c>
      <c r="J93" s="9">
        <f>IFERROR(INDEX('GB1 Bar'!$F$2:$F$300,MATCH(A93,'GB1 Bar'!$A$2:$A$300,0)),0)</f>
        <v>0</v>
      </c>
      <c r="K93" s="9">
        <f>IFERROR(INDEX('GB2 Bar'!$F$2:$F$300,MATCH(A93,'GB2 Bar'!$A$2:$A$300,0)),0)</f>
        <v>0</v>
      </c>
      <c r="L93" s="9">
        <f>IFERROR(INDEX('CB1 Bar'!$F$2:$F$300,MATCH(A93,'CB1 Bar'!$A$2:$A$300,0)),0)</f>
        <v>0</v>
      </c>
      <c r="M93" s="9">
        <f>IFERROR(INDEX('CB2 Bar'!$F$2:$F$300,MATCH(A93,'CB2 Bar'!$A$2:$A$300,0)),0)</f>
        <v>0</v>
      </c>
      <c r="N93" s="9">
        <f>IFERROR(INDEX('CB3 Bar'!$F$2:$F$300,MATCH(A93,'CB3 Bar'!$A$2:$A$300,0)),0)</f>
        <v>0</v>
      </c>
      <c r="O93" s="9">
        <f>IFERROR(INDEX('Spirits Room'!$F$2:$F$300,MATCH(A93,'Spirits Room'!$A$2:$A$300,0)),0)</f>
        <v>0</v>
      </c>
      <c r="P93" s="9">
        <f>IFERROR(INDEX('White Wine Fridge'!$F$2:$F$300,MATCH(A93,'White Wine Fridge'!$A$2:$A$300,0)),0)</f>
        <v>0</v>
      </c>
      <c r="Q93" s="9">
        <f>IFERROR(INDEX('Lower Keg'!$F$2:$F$300,MATCH(A93,'Lower Keg'!$A$2:$A$300,0)),0)</f>
        <v>0</v>
      </c>
      <c r="R93" s="9">
        <f>IFERROR(INDEX('Botanical Storeroom'!$F$2:$F$300,MATCH(A93,'Botanical Storeroom'!$A$2:$A$300,0)),0)</f>
        <v>0</v>
      </c>
      <c r="S93" s="9">
        <f>IFERROR(INDEX('Botanical Bar'!$F$2:$F$300,MATCH(A93,'Botanical Bar'!$A$2:$A$300,0)),0)</f>
        <v>0</v>
      </c>
      <c r="T93" s="9">
        <f>IFERROR(INDEX('Loading Dock Fridge'!$F$2:$F$300,MATCH(A93,'Loading Dock Fridge'!$A$2:$A$300,0)),0)</f>
        <v>0</v>
      </c>
      <c r="U93" s="9">
        <f>IFERROR(INDEX('Postmix Loading Dock'!$F$2:$F$300,MATCH(A93,'Postmix Loading Dock'!$A$2:$A$300,0)),0)</f>
        <v>0</v>
      </c>
      <c r="V93" s="9">
        <f>IFERROR(INDEX('Postmix Lower Keg'!$F$2:$F$300,MATCH(A93,'Postmix Lower Keg'!$A$2:$A$300,0)),0)</f>
        <v>0</v>
      </c>
      <c r="W93" s="10">
        <f>IFERROR(INDEX('Postmix TWR'!$F$2:$F$300,MATCH(A93,'Postmix TWR'!$A$2:$A$300,0)),0)</f>
        <v>0</v>
      </c>
    </row>
    <row r="94" spans="1:23" x14ac:dyDescent="0.35">
      <c r="A94" s="8">
        <v>67317</v>
      </c>
      <c r="B94" s="9" t="s">
        <v>135</v>
      </c>
      <c r="C94" s="9" t="s">
        <v>136</v>
      </c>
      <c r="D94" s="9" t="s">
        <v>138</v>
      </c>
      <c r="E94" s="17">
        <v>6</v>
      </c>
      <c r="F94" s="23">
        <f t="shared" si="2"/>
        <v>0</v>
      </c>
      <c r="G94" s="9">
        <f>IFERROR(INDEX('Juice Fridge'!$F$2:$F$300,MATCH(A94,'Juice Fridge'!$A$2:$A$300,0)),0)</f>
        <v>0</v>
      </c>
      <c r="H94" s="9">
        <f>IFERROR(INDEX('Upper Keg'!$F$2:$F$300,MATCH(A94,'Upper Keg'!$A$2:$A$300,0)),0)</f>
        <v>0</v>
      </c>
      <c r="I94" s="9">
        <f>IFERROR(INDEX('Astral Bar'!$F$2:$F$300,MATCH(A94,'Astral Bar'!$A$2:$A$300,0)),0)</f>
        <v>0</v>
      </c>
      <c r="J94" s="9">
        <f>IFERROR(INDEX('GB1 Bar'!$F$2:$F$300,MATCH(A94,'GB1 Bar'!$A$2:$A$300,0)),0)</f>
        <v>0</v>
      </c>
      <c r="K94" s="9">
        <f>IFERROR(INDEX('GB2 Bar'!$F$2:$F$300,MATCH(A94,'GB2 Bar'!$A$2:$A$300,0)),0)</f>
        <v>0</v>
      </c>
      <c r="L94" s="9">
        <f>IFERROR(INDEX('CB1 Bar'!$F$2:$F$300,MATCH(A94,'CB1 Bar'!$A$2:$A$300,0)),0)</f>
        <v>0</v>
      </c>
      <c r="M94" s="9">
        <f>IFERROR(INDEX('CB2 Bar'!$F$2:$F$300,MATCH(A94,'CB2 Bar'!$A$2:$A$300,0)),0)</f>
        <v>0</v>
      </c>
      <c r="N94" s="9">
        <f>IFERROR(INDEX('CB3 Bar'!$F$2:$F$300,MATCH(A94,'CB3 Bar'!$A$2:$A$300,0)),0)</f>
        <v>0</v>
      </c>
      <c r="O94" s="9">
        <f>IFERROR(INDEX('Spirits Room'!$F$2:$F$300,MATCH(A94,'Spirits Room'!$A$2:$A$300,0)),0)</f>
        <v>0</v>
      </c>
      <c r="P94" s="9">
        <f>IFERROR(INDEX('White Wine Fridge'!$F$2:$F$300,MATCH(A94,'White Wine Fridge'!$A$2:$A$300,0)),0)</f>
        <v>0</v>
      </c>
      <c r="Q94" s="9">
        <f>IFERROR(INDEX('Lower Keg'!$F$2:$F$300,MATCH(A94,'Lower Keg'!$A$2:$A$300,0)),0)</f>
        <v>0</v>
      </c>
      <c r="R94" s="9">
        <f>IFERROR(INDEX('Botanical Storeroom'!$F$2:$F$300,MATCH(A94,'Botanical Storeroom'!$A$2:$A$300,0)),0)</f>
        <v>0</v>
      </c>
      <c r="S94" s="9">
        <f>IFERROR(INDEX('Botanical Bar'!$F$2:$F$300,MATCH(A94,'Botanical Bar'!$A$2:$A$300,0)),0)</f>
        <v>0</v>
      </c>
      <c r="T94" s="9">
        <f>IFERROR(INDEX('Loading Dock Fridge'!$F$2:$F$300,MATCH(A94,'Loading Dock Fridge'!$A$2:$A$300,0)),0)</f>
        <v>0</v>
      </c>
      <c r="U94" s="9">
        <f>IFERROR(INDEX('Postmix Loading Dock'!$F$2:$F$300,MATCH(A94,'Postmix Loading Dock'!$A$2:$A$300,0)),0)</f>
        <v>0</v>
      </c>
      <c r="V94" s="9">
        <f>IFERROR(INDEX('Postmix Lower Keg'!$F$2:$F$300,MATCH(A94,'Postmix Lower Keg'!$A$2:$A$300,0)),0)</f>
        <v>0</v>
      </c>
      <c r="W94" s="10">
        <f>IFERROR(INDEX('Postmix TWR'!$F$2:$F$300,MATCH(A94,'Postmix TWR'!$A$2:$A$300,0)),0)</f>
        <v>0</v>
      </c>
    </row>
    <row r="95" spans="1:23" x14ac:dyDescent="0.35">
      <c r="A95" s="8">
        <v>22147</v>
      </c>
      <c r="B95" s="9" t="s">
        <v>139</v>
      </c>
      <c r="C95" s="9" t="s">
        <v>136</v>
      </c>
      <c r="D95" s="9" t="s">
        <v>140</v>
      </c>
      <c r="E95" s="17">
        <v>6</v>
      </c>
      <c r="F95" s="23">
        <f t="shared" si="2"/>
        <v>0</v>
      </c>
      <c r="G95" s="9">
        <f>IFERROR(INDEX('Juice Fridge'!$F$2:$F$300,MATCH(A95,'Juice Fridge'!$A$2:$A$300,0)),0)</f>
        <v>0</v>
      </c>
      <c r="H95" s="9">
        <f>IFERROR(INDEX('Upper Keg'!$F$2:$F$300,MATCH(A95,'Upper Keg'!$A$2:$A$300,0)),0)</f>
        <v>0</v>
      </c>
      <c r="I95" s="9">
        <f>IFERROR(INDEX('Astral Bar'!$F$2:$F$300,MATCH(A95,'Astral Bar'!$A$2:$A$300,0)),0)</f>
        <v>0</v>
      </c>
      <c r="J95" s="9">
        <f>IFERROR(INDEX('GB1 Bar'!$F$2:$F$300,MATCH(A95,'GB1 Bar'!$A$2:$A$300,0)),0)</f>
        <v>0</v>
      </c>
      <c r="K95" s="9">
        <f>IFERROR(INDEX('GB2 Bar'!$F$2:$F$300,MATCH(A95,'GB2 Bar'!$A$2:$A$300,0)),0)</f>
        <v>0</v>
      </c>
      <c r="L95" s="9">
        <f>IFERROR(INDEX('CB1 Bar'!$F$2:$F$300,MATCH(A95,'CB1 Bar'!$A$2:$A$300,0)),0)</f>
        <v>0</v>
      </c>
      <c r="M95" s="9">
        <f>IFERROR(INDEX('CB2 Bar'!$F$2:$F$300,MATCH(A95,'CB2 Bar'!$A$2:$A$300,0)),0)</f>
        <v>0</v>
      </c>
      <c r="N95" s="9">
        <f>IFERROR(INDEX('CB3 Bar'!$F$2:$F$300,MATCH(A95,'CB3 Bar'!$A$2:$A$300,0)),0)</f>
        <v>0</v>
      </c>
      <c r="O95" s="9">
        <f>IFERROR(INDEX('Spirits Room'!$F$2:$F$300,MATCH(A95,'Spirits Room'!$A$2:$A$300,0)),0)</f>
        <v>0</v>
      </c>
      <c r="P95" s="9">
        <f>IFERROR(INDEX('White Wine Fridge'!$F$2:$F$300,MATCH(A95,'White Wine Fridge'!$A$2:$A$300,0)),0)</f>
        <v>0</v>
      </c>
      <c r="Q95" s="9">
        <f>IFERROR(INDEX('Lower Keg'!$F$2:$F$300,MATCH(A95,'Lower Keg'!$A$2:$A$300,0)),0)</f>
        <v>0</v>
      </c>
      <c r="R95" s="9">
        <f>IFERROR(INDEX('Botanical Storeroom'!$F$2:$F$300,MATCH(A95,'Botanical Storeroom'!$A$2:$A$300,0)),0)</f>
        <v>0</v>
      </c>
      <c r="S95" s="9">
        <f>IFERROR(INDEX('Botanical Bar'!$F$2:$F$300,MATCH(A95,'Botanical Bar'!$A$2:$A$300,0)),0)</f>
        <v>0</v>
      </c>
      <c r="T95" s="9">
        <f>IFERROR(INDEX('Loading Dock Fridge'!$F$2:$F$300,MATCH(A95,'Loading Dock Fridge'!$A$2:$A$300,0)),0)</f>
        <v>0</v>
      </c>
      <c r="U95" s="9">
        <f>IFERROR(INDEX('Postmix Loading Dock'!$F$2:$F$300,MATCH(A95,'Postmix Loading Dock'!$A$2:$A$300,0)),0)</f>
        <v>0</v>
      </c>
      <c r="V95" s="9">
        <f>IFERROR(INDEX('Postmix Lower Keg'!$F$2:$F$300,MATCH(A95,'Postmix Lower Keg'!$A$2:$A$300,0)),0)</f>
        <v>0</v>
      </c>
      <c r="W95" s="10">
        <f>IFERROR(INDEX('Postmix TWR'!$F$2:$F$300,MATCH(A95,'Postmix TWR'!$A$2:$A$300,0)),0)</f>
        <v>0</v>
      </c>
    </row>
    <row r="96" spans="1:23" x14ac:dyDescent="0.35">
      <c r="A96" s="8">
        <v>58788</v>
      </c>
      <c r="B96" s="9" t="s">
        <v>139</v>
      </c>
      <c r="C96" s="9" t="s">
        <v>136</v>
      </c>
      <c r="D96" s="9" t="s">
        <v>141</v>
      </c>
      <c r="E96" s="17">
        <v>6</v>
      </c>
      <c r="F96" s="23">
        <f t="shared" si="2"/>
        <v>0</v>
      </c>
      <c r="G96" s="9">
        <f>IFERROR(INDEX('Juice Fridge'!$F$2:$F$300,MATCH(A96,'Juice Fridge'!$A$2:$A$300,0)),0)</f>
        <v>0</v>
      </c>
      <c r="H96" s="9">
        <f>IFERROR(INDEX('Upper Keg'!$F$2:$F$300,MATCH(A96,'Upper Keg'!$A$2:$A$300,0)),0)</f>
        <v>0</v>
      </c>
      <c r="I96" s="9">
        <f>IFERROR(INDEX('Astral Bar'!$F$2:$F$300,MATCH(A96,'Astral Bar'!$A$2:$A$300,0)),0)</f>
        <v>0</v>
      </c>
      <c r="J96" s="9">
        <f>IFERROR(INDEX('GB1 Bar'!$F$2:$F$300,MATCH(A96,'GB1 Bar'!$A$2:$A$300,0)),0)</f>
        <v>0</v>
      </c>
      <c r="K96" s="9">
        <f>IFERROR(INDEX('GB2 Bar'!$F$2:$F$300,MATCH(A96,'GB2 Bar'!$A$2:$A$300,0)),0)</f>
        <v>0</v>
      </c>
      <c r="L96" s="9">
        <f>IFERROR(INDEX('CB1 Bar'!$F$2:$F$300,MATCH(A96,'CB1 Bar'!$A$2:$A$300,0)),0)</f>
        <v>0</v>
      </c>
      <c r="M96" s="9">
        <f>IFERROR(INDEX('CB2 Bar'!$F$2:$F$300,MATCH(A96,'CB2 Bar'!$A$2:$A$300,0)),0)</f>
        <v>0</v>
      </c>
      <c r="N96" s="9">
        <f>IFERROR(INDEX('CB3 Bar'!$F$2:$F$300,MATCH(A96,'CB3 Bar'!$A$2:$A$300,0)),0)</f>
        <v>0</v>
      </c>
      <c r="O96" s="9">
        <f>IFERROR(INDEX('Spirits Room'!$F$2:$F$300,MATCH(A96,'Spirits Room'!$A$2:$A$300,0)),0)</f>
        <v>0</v>
      </c>
      <c r="P96" s="9">
        <f>IFERROR(INDEX('White Wine Fridge'!$F$2:$F$300,MATCH(A96,'White Wine Fridge'!$A$2:$A$300,0)),0)</f>
        <v>0</v>
      </c>
      <c r="Q96" s="9">
        <f>IFERROR(INDEX('Lower Keg'!$F$2:$F$300,MATCH(A96,'Lower Keg'!$A$2:$A$300,0)),0)</f>
        <v>0</v>
      </c>
      <c r="R96" s="9">
        <f>IFERROR(INDEX('Botanical Storeroom'!$F$2:$F$300,MATCH(A96,'Botanical Storeroom'!$A$2:$A$300,0)),0)</f>
        <v>0</v>
      </c>
      <c r="S96" s="9">
        <f>IFERROR(INDEX('Botanical Bar'!$F$2:$F$300,MATCH(A96,'Botanical Bar'!$A$2:$A$300,0)),0)</f>
        <v>0</v>
      </c>
      <c r="T96" s="9">
        <f>IFERROR(INDEX('Loading Dock Fridge'!$F$2:$F$300,MATCH(A96,'Loading Dock Fridge'!$A$2:$A$300,0)),0)</f>
        <v>0</v>
      </c>
      <c r="U96" s="9">
        <f>IFERROR(INDEX('Postmix Loading Dock'!$F$2:$F$300,MATCH(A96,'Postmix Loading Dock'!$A$2:$A$300,0)),0)</f>
        <v>0</v>
      </c>
      <c r="V96" s="9">
        <f>IFERROR(INDEX('Postmix Lower Keg'!$F$2:$F$300,MATCH(A96,'Postmix Lower Keg'!$A$2:$A$300,0)),0)</f>
        <v>0</v>
      </c>
      <c r="W96" s="10">
        <f>IFERROR(INDEX('Postmix TWR'!$F$2:$F$300,MATCH(A96,'Postmix TWR'!$A$2:$A$300,0)),0)</f>
        <v>0</v>
      </c>
    </row>
    <row r="97" spans="1:23" x14ac:dyDescent="0.35">
      <c r="A97" s="8">
        <v>186</v>
      </c>
      <c r="B97" s="9" t="s">
        <v>139</v>
      </c>
      <c r="C97" s="9" t="s">
        <v>136</v>
      </c>
      <c r="D97" s="9" t="s">
        <v>142</v>
      </c>
      <c r="E97" s="17">
        <v>6</v>
      </c>
      <c r="F97" s="23">
        <f t="shared" si="2"/>
        <v>0</v>
      </c>
      <c r="G97" s="9">
        <f>IFERROR(INDEX('Juice Fridge'!$F$2:$F$300,MATCH(A97,'Juice Fridge'!$A$2:$A$300,0)),0)</f>
        <v>0</v>
      </c>
      <c r="H97" s="9">
        <f>IFERROR(INDEX('Upper Keg'!$F$2:$F$300,MATCH(A97,'Upper Keg'!$A$2:$A$300,0)),0)</f>
        <v>0</v>
      </c>
      <c r="I97" s="9">
        <f>IFERROR(INDEX('Astral Bar'!$F$2:$F$300,MATCH(A97,'Astral Bar'!$A$2:$A$300,0)),0)</f>
        <v>0</v>
      </c>
      <c r="J97" s="9">
        <f>IFERROR(INDEX('GB1 Bar'!$F$2:$F$300,MATCH(A97,'GB1 Bar'!$A$2:$A$300,0)),0)</f>
        <v>0</v>
      </c>
      <c r="K97" s="9">
        <f>IFERROR(INDEX('GB2 Bar'!$F$2:$F$300,MATCH(A97,'GB2 Bar'!$A$2:$A$300,0)),0)</f>
        <v>0</v>
      </c>
      <c r="L97" s="9">
        <f>IFERROR(INDEX('CB1 Bar'!$F$2:$F$300,MATCH(A97,'CB1 Bar'!$A$2:$A$300,0)),0)</f>
        <v>0</v>
      </c>
      <c r="M97" s="9">
        <f>IFERROR(INDEX('CB2 Bar'!$F$2:$F$300,MATCH(A97,'CB2 Bar'!$A$2:$A$300,0)),0)</f>
        <v>0</v>
      </c>
      <c r="N97" s="9">
        <f>IFERROR(INDEX('CB3 Bar'!$F$2:$F$300,MATCH(A97,'CB3 Bar'!$A$2:$A$300,0)),0)</f>
        <v>0</v>
      </c>
      <c r="O97" s="9">
        <f>IFERROR(INDEX('Spirits Room'!$F$2:$F$300,MATCH(A97,'Spirits Room'!$A$2:$A$300,0)),0)</f>
        <v>0</v>
      </c>
      <c r="P97" s="9">
        <f>IFERROR(INDEX('White Wine Fridge'!$F$2:$F$300,MATCH(A97,'White Wine Fridge'!$A$2:$A$300,0)),0)</f>
        <v>0</v>
      </c>
      <c r="Q97" s="9">
        <f>IFERROR(INDEX('Lower Keg'!$F$2:$F$300,MATCH(A97,'Lower Keg'!$A$2:$A$300,0)),0)</f>
        <v>0</v>
      </c>
      <c r="R97" s="9">
        <f>IFERROR(INDEX('Botanical Storeroom'!$F$2:$F$300,MATCH(A97,'Botanical Storeroom'!$A$2:$A$300,0)),0)</f>
        <v>0</v>
      </c>
      <c r="S97" s="9">
        <f>IFERROR(INDEX('Botanical Bar'!$F$2:$F$300,MATCH(A97,'Botanical Bar'!$A$2:$A$300,0)),0)</f>
        <v>0</v>
      </c>
      <c r="T97" s="9">
        <f>IFERROR(INDEX('Loading Dock Fridge'!$F$2:$F$300,MATCH(A97,'Loading Dock Fridge'!$A$2:$A$300,0)),0)</f>
        <v>0</v>
      </c>
      <c r="U97" s="9">
        <f>IFERROR(INDEX('Postmix Loading Dock'!$F$2:$F$300,MATCH(A97,'Postmix Loading Dock'!$A$2:$A$300,0)),0)</f>
        <v>0</v>
      </c>
      <c r="V97" s="9">
        <f>IFERROR(INDEX('Postmix Lower Keg'!$F$2:$F$300,MATCH(A97,'Postmix Lower Keg'!$A$2:$A$300,0)),0)</f>
        <v>0</v>
      </c>
      <c r="W97" s="10">
        <f>IFERROR(INDEX('Postmix TWR'!$F$2:$F$300,MATCH(A97,'Postmix TWR'!$A$2:$A$300,0)),0)</f>
        <v>0</v>
      </c>
    </row>
    <row r="98" spans="1:23" x14ac:dyDescent="0.35">
      <c r="A98" s="8">
        <v>37152</v>
      </c>
      <c r="B98" s="9" t="s">
        <v>139</v>
      </c>
      <c r="C98" s="9" t="s">
        <v>136</v>
      </c>
      <c r="D98" s="9" t="s">
        <v>143</v>
      </c>
      <c r="E98" s="17">
        <v>6</v>
      </c>
      <c r="F98" s="23">
        <f t="shared" ref="F98:F129" si="3">G98+H98+I98+J98+K98+L98+M98+N98+O98+P98+Q98+R98+S98+T98+U98+V98+W98</f>
        <v>0</v>
      </c>
      <c r="G98" s="9">
        <f>IFERROR(INDEX('Juice Fridge'!$F$2:$F$300,MATCH(A98,'Juice Fridge'!$A$2:$A$300,0)),0)</f>
        <v>0</v>
      </c>
      <c r="H98" s="9">
        <f>IFERROR(INDEX('Upper Keg'!$F$2:$F$300,MATCH(A98,'Upper Keg'!$A$2:$A$300,0)),0)</f>
        <v>0</v>
      </c>
      <c r="I98" s="9">
        <f>IFERROR(INDEX('Astral Bar'!$F$2:$F$300,MATCH(A98,'Astral Bar'!$A$2:$A$300,0)),0)</f>
        <v>0</v>
      </c>
      <c r="J98" s="9">
        <f>IFERROR(INDEX('GB1 Bar'!$F$2:$F$300,MATCH(A98,'GB1 Bar'!$A$2:$A$300,0)),0)</f>
        <v>0</v>
      </c>
      <c r="K98" s="9">
        <f>IFERROR(INDEX('GB2 Bar'!$F$2:$F$300,MATCH(A98,'GB2 Bar'!$A$2:$A$300,0)),0)</f>
        <v>0</v>
      </c>
      <c r="L98" s="9">
        <f>IFERROR(INDEX('CB1 Bar'!$F$2:$F$300,MATCH(A98,'CB1 Bar'!$A$2:$A$300,0)),0)</f>
        <v>0</v>
      </c>
      <c r="M98" s="9">
        <f>IFERROR(INDEX('CB2 Bar'!$F$2:$F$300,MATCH(A98,'CB2 Bar'!$A$2:$A$300,0)),0)</f>
        <v>0</v>
      </c>
      <c r="N98" s="9">
        <f>IFERROR(INDEX('CB3 Bar'!$F$2:$F$300,MATCH(A98,'CB3 Bar'!$A$2:$A$300,0)),0)</f>
        <v>0</v>
      </c>
      <c r="O98" s="9">
        <f>IFERROR(INDEX('Spirits Room'!$F$2:$F$300,MATCH(A98,'Spirits Room'!$A$2:$A$300,0)),0)</f>
        <v>0</v>
      </c>
      <c r="P98" s="9">
        <f>IFERROR(INDEX('White Wine Fridge'!$F$2:$F$300,MATCH(A98,'White Wine Fridge'!$A$2:$A$300,0)),0)</f>
        <v>0</v>
      </c>
      <c r="Q98" s="9">
        <f>IFERROR(INDEX('Lower Keg'!$F$2:$F$300,MATCH(A98,'Lower Keg'!$A$2:$A$300,0)),0)</f>
        <v>0</v>
      </c>
      <c r="R98" s="9">
        <f>IFERROR(INDEX('Botanical Storeroom'!$F$2:$F$300,MATCH(A98,'Botanical Storeroom'!$A$2:$A$300,0)),0)</f>
        <v>0</v>
      </c>
      <c r="S98" s="9">
        <f>IFERROR(INDEX('Botanical Bar'!$F$2:$F$300,MATCH(A98,'Botanical Bar'!$A$2:$A$300,0)),0)</f>
        <v>0</v>
      </c>
      <c r="T98" s="9">
        <f>IFERROR(INDEX('Loading Dock Fridge'!$F$2:$F$300,MATCH(A98,'Loading Dock Fridge'!$A$2:$A$300,0)),0)</f>
        <v>0</v>
      </c>
      <c r="U98" s="9">
        <f>IFERROR(INDEX('Postmix Loading Dock'!$F$2:$F$300,MATCH(A98,'Postmix Loading Dock'!$A$2:$A$300,0)),0)</f>
        <v>0</v>
      </c>
      <c r="V98" s="9">
        <f>IFERROR(INDEX('Postmix Lower Keg'!$F$2:$F$300,MATCH(A98,'Postmix Lower Keg'!$A$2:$A$300,0)),0)</f>
        <v>0</v>
      </c>
      <c r="W98" s="10">
        <f>IFERROR(INDEX('Postmix TWR'!$F$2:$F$300,MATCH(A98,'Postmix TWR'!$A$2:$A$300,0)),0)</f>
        <v>0</v>
      </c>
    </row>
    <row r="99" spans="1:23" x14ac:dyDescent="0.35">
      <c r="A99" s="8">
        <v>43699</v>
      </c>
      <c r="B99" s="9" t="s">
        <v>139</v>
      </c>
      <c r="C99" s="9" t="s">
        <v>136</v>
      </c>
      <c r="D99" s="9" t="s">
        <v>144</v>
      </c>
      <c r="E99" s="17">
        <v>6</v>
      </c>
      <c r="F99" s="23">
        <f t="shared" si="3"/>
        <v>0</v>
      </c>
      <c r="G99" s="9">
        <f>IFERROR(INDEX('Juice Fridge'!$F$2:$F$300,MATCH(A99,'Juice Fridge'!$A$2:$A$300,0)),0)</f>
        <v>0</v>
      </c>
      <c r="H99" s="9">
        <f>IFERROR(INDEX('Upper Keg'!$F$2:$F$300,MATCH(A99,'Upper Keg'!$A$2:$A$300,0)),0)</f>
        <v>0</v>
      </c>
      <c r="I99" s="9">
        <f>IFERROR(INDEX('Astral Bar'!$F$2:$F$300,MATCH(A99,'Astral Bar'!$A$2:$A$300,0)),0)</f>
        <v>0</v>
      </c>
      <c r="J99" s="9">
        <f>IFERROR(INDEX('GB1 Bar'!$F$2:$F$300,MATCH(A99,'GB1 Bar'!$A$2:$A$300,0)),0)</f>
        <v>0</v>
      </c>
      <c r="K99" s="9">
        <f>IFERROR(INDEX('GB2 Bar'!$F$2:$F$300,MATCH(A99,'GB2 Bar'!$A$2:$A$300,0)),0)</f>
        <v>0</v>
      </c>
      <c r="L99" s="9">
        <f>IFERROR(INDEX('CB1 Bar'!$F$2:$F$300,MATCH(A99,'CB1 Bar'!$A$2:$A$300,0)),0)</f>
        <v>0</v>
      </c>
      <c r="M99" s="9">
        <f>IFERROR(INDEX('CB2 Bar'!$F$2:$F$300,MATCH(A99,'CB2 Bar'!$A$2:$A$300,0)),0)</f>
        <v>0</v>
      </c>
      <c r="N99" s="9">
        <f>IFERROR(INDEX('CB3 Bar'!$F$2:$F$300,MATCH(A99,'CB3 Bar'!$A$2:$A$300,0)),0)</f>
        <v>0</v>
      </c>
      <c r="O99" s="9">
        <f>IFERROR(INDEX('Spirits Room'!$F$2:$F$300,MATCH(A99,'Spirits Room'!$A$2:$A$300,0)),0)</f>
        <v>0</v>
      </c>
      <c r="P99" s="9">
        <f>IFERROR(INDEX('White Wine Fridge'!$F$2:$F$300,MATCH(A99,'White Wine Fridge'!$A$2:$A$300,0)),0)</f>
        <v>0</v>
      </c>
      <c r="Q99" s="9">
        <f>IFERROR(INDEX('Lower Keg'!$F$2:$F$300,MATCH(A99,'Lower Keg'!$A$2:$A$300,0)),0)</f>
        <v>0</v>
      </c>
      <c r="R99" s="9">
        <f>IFERROR(INDEX('Botanical Storeroom'!$F$2:$F$300,MATCH(A99,'Botanical Storeroom'!$A$2:$A$300,0)),0)</f>
        <v>0</v>
      </c>
      <c r="S99" s="9">
        <f>IFERROR(INDEX('Botanical Bar'!$F$2:$F$300,MATCH(A99,'Botanical Bar'!$A$2:$A$300,0)),0)</f>
        <v>0</v>
      </c>
      <c r="T99" s="9">
        <f>IFERROR(INDEX('Loading Dock Fridge'!$F$2:$F$300,MATCH(A99,'Loading Dock Fridge'!$A$2:$A$300,0)),0)</f>
        <v>0</v>
      </c>
      <c r="U99" s="9">
        <f>IFERROR(INDEX('Postmix Loading Dock'!$F$2:$F$300,MATCH(A99,'Postmix Loading Dock'!$A$2:$A$300,0)),0)</f>
        <v>0</v>
      </c>
      <c r="V99" s="9">
        <f>IFERROR(INDEX('Postmix Lower Keg'!$F$2:$F$300,MATCH(A99,'Postmix Lower Keg'!$A$2:$A$300,0)),0)</f>
        <v>0</v>
      </c>
      <c r="W99" s="10">
        <f>IFERROR(INDEX('Postmix TWR'!$F$2:$F$300,MATCH(A99,'Postmix TWR'!$A$2:$A$300,0)),0)</f>
        <v>0</v>
      </c>
    </row>
    <row r="100" spans="1:23" x14ac:dyDescent="0.35">
      <c r="A100" s="8">
        <v>20535</v>
      </c>
      <c r="B100" s="9" t="s">
        <v>139</v>
      </c>
      <c r="C100" s="9" t="s">
        <v>136</v>
      </c>
      <c r="D100" s="9" t="s">
        <v>145</v>
      </c>
      <c r="E100" s="17">
        <v>6</v>
      </c>
      <c r="F100" s="23">
        <f t="shared" si="3"/>
        <v>0</v>
      </c>
      <c r="G100" s="9">
        <f>IFERROR(INDEX('Juice Fridge'!$F$2:$F$300,MATCH(A100,'Juice Fridge'!$A$2:$A$300,0)),0)</f>
        <v>0</v>
      </c>
      <c r="H100" s="9">
        <f>IFERROR(INDEX('Upper Keg'!$F$2:$F$300,MATCH(A100,'Upper Keg'!$A$2:$A$300,0)),0)</f>
        <v>0</v>
      </c>
      <c r="I100" s="9">
        <f>IFERROR(INDEX('Astral Bar'!$F$2:$F$300,MATCH(A100,'Astral Bar'!$A$2:$A$300,0)),0)</f>
        <v>0</v>
      </c>
      <c r="J100" s="9">
        <f>IFERROR(INDEX('GB1 Bar'!$F$2:$F$300,MATCH(A100,'GB1 Bar'!$A$2:$A$300,0)),0)</f>
        <v>0</v>
      </c>
      <c r="K100" s="9">
        <f>IFERROR(INDEX('GB2 Bar'!$F$2:$F$300,MATCH(A100,'GB2 Bar'!$A$2:$A$300,0)),0)</f>
        <v>0</v>
      </c>
      <c r="L100" s="9">
        <f>IFERROR(INDEX('CB1 Bar'!$F$2:$F$300,MATCH(A100,'CB1 Bar'!$A$2:$A$300,0)),0)</f>
        <v>0</v>
      </c>
      <c r="M100" s="9">
        <f>IFERROR(INDEX('CB2 Bar'!$F$2:$F$300,MATCH(A100,'CB2 Bar'!$A$2:$A$300,0)),0)</f>
        <v>0</v>
      </c>
      <c r="N100" s="9">
        <f>IFERROR(INDEX('CB3 Bar'!$F$2:$F$300,MATCH(A100,'CB3 Bar'!$A$2:$A$300,0)),0)</f>
        <v>0</v>
      </c>
      <c r="O100" s="9">
        <f>IFERROR(INDEX('Spirits Room'!$F$2:$F$300,MATCH(A100,'Spirits Room'!$A$2:$A$300,0)),0)</f>
        <v>0</v>
      </c>
      <c r="P100" s="9">
        <f>IFERROR(INDEX('White Wine Fridge'!$F$2:$F$300,MATCH(A100,'White Wine Fridge'!$A$2:$A$300,0)),0)</f>
        <v>0</v>
      </c>
      <c r="Q100" s="9">
        <f>IFERROR(INDEX('Lower Keg'!$F$2:$F$300,MATCH(A100,'Lower Keg'!$A$2:$A$300,0)),0)</f>
        <v>0</v>
      </c>
      <c r="R100" s="9">
        <f>IFERROR(INDEX('Botanical Storeroom'!$F$2:$F$300,MATCH(A100,'Botanical Storeroom'!$A$2:$A$300,0)),0)</f>
        <v>0</v>
      </c>
      <c r="S100" s="9">
        <f>IFERROR(INDEX('Botanical Bar'!$F$2:$F$300,MATCH(A100,'Botanical Bar'!$A$2:$A$300,0)),0)</f>
        <v>0</v>
      </c>
      <c r="T100" s="9">
        <f>IFERROR(INDEX('Loading Dock Fridge'!$F$2:$F$300,MATCH(A100,'Loading Dock Fridge'!$A$2:$A$300,0)),0)</f>
        <v>0</v>
      </c>
      <c r="U100" s="9">
        <f>IFERROR(INDEX('Postmix Loading Dock'!$F$2:$F$300,MATCH(A100,'Postmix Loading Dock'!$A$2:$A$300,0)),0)</f>
        <v>0</v>
      </c>
      <c r="V100" s="9">
        <f>IFERROR(INDEX('Postmix Lower Keg'!$F$2:$F$300,MATCH(A100,'Postmix Lower Keg'!$A$2:$A$300,0)),0)</f>
        <v>0</v>
      </c>
      <c r="W100" s="10">
        <f>IFERROR(INDEX('Postmix TWR'!$F$2:$F$300,MATCH(A100,'Postmix TWR'!$A$2:$A$300,0)),0)</f>
        <v>0</v>
      </c>
    </row>
    <row r="101" spans="1:23" x14ac:dyDescent="0.35">
      <c r="A101" s="8">
        <v>51561</v>
      </c>
      <c r="B101" s="9" t="s">
        <v>139</v>
      </c>
      <c r="C101" s="9" t="s">
        <v>136</v>
      </c>
      <c r="D101" s="9" t="s">
        <v>146</v>
      </c>
      <c r="E101" s="17">
        <v>12</v>
      </c>
      <c r="F101" s="23">
        <f t="shared" si="3"/>
        <v>0</v>
      </c>
      <c r="G101" s="9">
        <f>IFERROR(INDEX('Juice Fridge'!$F$2:$F$300,MATCH(A101,'Juice Fridge'!$A$2:$A$300,0)),0)</f>
        <v>0</v>
      </c>
      <c r="H101" s="9">
        <f>IFERROR(INDEX('Upper Keg'!$F$2:$F$300,MATCH(A101,'Upper Keg'!$A$2:$A$300,0)),0)</f>
        <v>0</v>
      </c>
      <c r="I101" s="9">
        <f>IFERROR(INDEX('Astral Bar'!$F$2:$F$300,MATCH(A101,'Astral Bar'!$A$2:$A$300,0)),0)</f>
        <v>0</v>
      </c>
      <c r="J101" s="9">
        <f>IFERROR(INDEX('GB1 Bar'!$F$2:$F$300,MATCH(A101,'GB1 Bar'!$A$2:$A$300,0)),0)</f>
        <v>0</v>
      </c>
      <c r="K101" s="9">
        <f>IFERROR(INDEX('GB2 Bar'!$F$2:$F$300,MATCH(A101,'GB2 Bar'!$A$2:$A$300,0)),0)</f>
        <v>0</v>
      </c>
      <c r="L101" s="9">
        <f>IFERROR(INDEX('CB1 Bar'!$F$2:$F$300,MATCH(A101,'CB1 Bar'!$A$2:$A$300,0)),0)</f>
        <v>0</v>
      </c>
      <c r="M101" s="9">
        <f>IFERROR(INDEX('CB2 Bar'!$F$2:$F$300,MATCH(A101,'CB2 Bar'!$A$2:$A$300,0)),0)</f>
        <v>0</v>
      </c>
      <c r="N101" s="9">
        <f>IFERROR(INDEX('CB3 Bar'!$F$2:$F$300,MATCH(A101,'CB3 Bar'!$A$2:$A$300,0)),0)</f>
        <v>0</v>
      </c>
      <c r="O101" s="9">
        <f>IFERROR(INDEX('Spirits Room'!$F$2:$F$300,MATCH(A101,'Spirits Room'!$A$2:$A$300,0)),0)</f>
        <v>0</v>
      </c>
      <c r="P101" s="9">
        <f>IFERROR(INDEX('White Wine Fridge'!$F$2:$F$300,MATCH(A101,'White Wine Fridge'!$A$2:$A$300,0)),0)</f>
        <v>0</v>
      </c>
      <c r="Q101" s="9">
        <f>IFERROR(INDEX('Lower Keg'!$F$2:$F$300,MATCH(A101,'Lower Keg'!$A$2:$A$300,0)),0)</f>
        <v>0</v>
      </c>
      <c r="R101" s="9">
        <f>IFERROR(INDEX('Botanical Storeroom'!$F$2:$F$300,MATCH(A101,'Botanical Storeroom'!$A$2:$A$300,0)),0)</f>
        <v>0</v>
      </c>
      <c r="S101" s="9">
        <f>IFERROR(INDEX('Botanical Bar'!$F$2:$F$300,MATCH(A101,'Botanical Bar'!$A$2:$A$300,0)),0)</f>
        <v>0</v>
      </c>
      <c r="T101" s="9">
        <f>IFERROR(INDEX('Loading Dock Fridge'!$F$2:$F$300,MATCH(A101,'Loading Dock Fridge'!$A$2:$A$300,0)),0)</f>
        <v>0</v>
      </c>
      <c r="U101" s="9">
        <f>IFERROR(INDEX('Postmix Loading Dock'!$F$2:$F$300,MATCH(A101,'Postmix Loading Dock'!$A$2:$A$300,0)),0)</f>
        <v>0</v>
      </c>
      <c r="V101" s="9">
        <f>IFERROR(INDEX('Postmix Lower Keg'!$F$2:$F$300,MATCH(A101,'Postmix Lower Keg'!$A$2:$A$300,0)),0)</f>
        <v>0</v>
      </c>
      <c r="W101" s="10">
        <f>IFERROR(INDEX('Postmix TWR'!$F$2:$F$300,MATCH(A101,'Postmix TWR'!$A$2:$A$300,0)),0)</f>
        <v>0</v>
      </c>
    </row>
    <row r="102" spans="1:23" x14ac:dyDescent="0.35">
      <c r="A102" s="8">
        <v>63299</v>
      </c>
      <c r="B102" s="9" t="s">
        <v>147</v>
      </c>
      <c r="C102" s="9" t="s">
        <v>136</v>
      </c>
      <c r="D102" s="9" t="s">
        <v>148</v>
      </c>
      <c r="E102" s="17">
        <v>6</v>
      </c>
      <c r="F102" s="23">
        <f t="shared" si="3"/>
        <v>0</v>
      </c>
      <c r="G102" s="9">
        <f>IFERROR(INDEX('Juice Fridge'!$F$2:$F$300,MATCH(A102,'Juice Fridge'!$A$2:$A$300,0)),0)</f>
        <v>0</v>
      </c>
      <c r="H102" s="9">
        <f>IFERROR(INDEX('Upper Keg'!$F$2:$F$300,MATCH(A102,'Upper Keg'!$A$2:$A$300,0)),0)</f>
        <v>0</v>
      </c>
      <c r="I102" s="9">
        <f>IFERROR(INDEX('Astral Bar'!$F$2:$F$300,MATCH(A102,'Astral Bar'!$A$2:$A$300,0)),0)</f>
        <v>0</v>
      </c>
      <c r="J102" s="9">
        <f>IFERROR(INDEX('GB1 Bar'!$F$2:$F$300,MATCH(A102,'GB1 Bar'!$A$2:$A$300,0)),0)</f>
        <v>0</v>
      </c>
      <c r="K102" s="9">
        <f>IFERROR(INDEX('GB2 Bar'!$F$2:$F$300,MATCH(A102,'GB2 Bar'!$A$2:$A$300,0)),0)</f>
        <v>0</v>
      </c>
      <c r="L102" s="9">
        <f>IFERROR(INDEX('CB1 Bar'!$F$2:$F$300,MATCH(A102,'CB1 Bar'!$A$2:$A$300,0)),0)</f>
        <v>0</v>
      </c>
      <c r="M102" s="9">
        <f>IFERROR(INDEX('CB2 Bar'!$F$2:$F$300,MATCH(A102,'CB2 Bar'!$A$2:$A$300,0)),0)</f>
        <v>0</v>
      </c>
      <c r="N102" s="9">
        <f>IFERROR(INDEX('CB3 Bar'!$F$2:$F$300,MATCH(A102,'CB3 Bar'!$A$2:$A$300,0)),0)</f>
        <v>0</v>
      </c>
      <c r="O102" s="9">
        <f>IFERROR(INDEX('Spirits Room'!$F$2:$F$300,MATCH(A102,'Spirits Room'!$A$2:$A$300,0)),0)</f>
        <v>0</v>
      </c>
      <c r="P102" s="9">
        <f>IFERROR(INDEX('White Wine Fridge'!$F$2:$F$300,MATCH(A102,'White Wine Fridge'!$A$2:$A$300,0)),0)</f>
        <v>0</v>
      </c>
      <c r="Q102" s="9">
        <f>IFERROR(INDEX('Lower Keg'!$F$2:$F$300,MATCH(A102,'Lower Keg'!$A$2:$A$300,0)),0)</f>
        <v>0</v>
      </c>
      <c r="R102" s="9">
        <f>IFERROR(INDEX('Botanical Storeroom'!$F$2:$F$300,MATCH(A102,'Botanical Storeroom'!$A$2:$A$300,0)),0)</f>
        <v>0</v>
      </c>
      <c r="S102" s="9">
        <f>IFERROR(INDEX('Botanical Bar'!$F$2:$F$300,MATCH(A102,'Botanical Bar'!$A$2:$A$300,0)),0)</f>
        <v>0</v>
      </c>
      <c r="T102" s="9">
        <f>IFERROR(INDEX('Loading Dock Fridge'!$F$2:$F$300,MATCH(A102,'Loading Dock Fridge'!$A$2:$A$300,0)),0)</f>
        <v>0</v>
      </c>
      <c r="U102" s="9">
        <f>IFERROR(INDEX('Postmix Loading Dock'!$F$2:$F$300,MATCH(A102,'Postmix Loading Dock'!$A$2:$A$300,0)),0)</f>
        <v>0</v>
      </c>
      <c r="V102" s="9">
        <f>IFERROR(INDEX('Postmix Lower Keg'!$F$2:$F$300,MATCH(A102,'Postmix Lower Keg'!$A$2:$A$300,0)),0)</f>
        <v>0</v>
      </c>
      <c r="W102" s="10">
        <f>IFERROR(INDEX('Postmix TWR'!$F$2:$F$300,MATCH(A102,'Postmix TWR'!$A$2:$A$300,0)),0)</f>
        <v>0</v>
      </c>
    </row>
    <row r="103" spans="1:23" x14ac:dyDescent="0.35">
      <c r="A103" s="8">
        <v>60404</v>
      </c>
      <c r="B103" s="9" t="s">
        <v>147</v>
      </c>
      <c r="C103" s="9" t="s">
        <v>136</v>
      </c>
      <c r="D103" s="9" t="s">
        <v>149</v>
      </c>
      <c r="E103" s="17">
        <v>6</v>
      </c>
      <c r="F103" s="23">
        <f t="shared" si="3"/>
        <v>0</v>
      </c>
      <c r="G103" s="9">
        <f>IFERROR(INDEX('Juice Fridge'!$F$2:$F$300,MATCH(A103,'Juice Fridge'!$A$2:$A$300,0)),0)</f>
        <v>0</v>
      </c>
      <c r="H103" s="9">
        <f>IFERROR(INDEX('Upper Keg'!$F$2:$F$300,MATCH(A103,'Upper Keg'!$A$2:$A$300,0)),0)</f>
        <v>0</v>
      </c>
      <c r="I103" s="9">
        <f>IFERROR(INDEX('Astral Bar'!$F$2:$F$300,MATCH(A103,'Astral Bar'!$A$2:$A$300,0)),0)</f>
        <v>0</v>
      </c>
      <c r="J103" s="9">
        <f>IFERROR(INDEX('GB1 Bar'!$F$2:$F$300,MATCH(A103,'GB1 Bar'!$A$2:$A$300,0)),0)</f>
        <v>0</v>
      </c>
      <c r="K103" s="9">
        <f>IFERROR(INDEX('GB2 Bar'!$F$2:$F$300,MATCH(A103,'GB2 Bar'!$A$2:$A$300,0)),0)</f>
        <v>0</v>
      </c>
      <c r="L103" s="9">
        <f>IFERROR(INDEX('CB1 Bar'!$F$2:$F$300,MATCH(A103,'CB1 Bar'!$A$2:$A$300,0)),0)</f>
        <v>0</v>
      </c>
      <c r="M103" s="9">
        <f>IFERROR(INDEX('CB2 Bar'!$F$2:$F$300,MATCH(A103,'CB2 Bar'!$A$2:$A$300,0)),0)</f>
        <v>0</v>
      </c>
      <c r="N103" s="9">
        <f>IFERROR(INDEX('CB3 Bar'!$F$2:$F$300,MATCH(A103,'CB3 Bar'!$A$2:$A$300,0)),0)</f>
        <v>0</v>
      </c>
      <c r="O103" s="9">
        <f>IFERROR(INDEX('Spirits Room'!$F$2:$F$300,MATCH(A103,'Spirits Room'!$A$2:$A$300,0)),0)</f>
        <v>0</v>
      </c>
      <c r="P103" s="9">
        <f>IFERROR(INDEX('White Wine Fridge'!$F$2:$F$300,MATCH(A103,'White Wine Fridge'!$A$2:$A$300,0)),0)</f>
        <v>0</v>
      </c>
      <c r="Q103" s="9">
        <f>IFERROR(INDEX('Lower Keg'!$F$2:$F$300,MATCH(A103,'Lower Keg'!$A$2:$A$300,0)),0)</f>
        <v>0</v>
      </c>
      <c r="R103" s="9">
        <f>IFERROR(INDEX('Botanical Storeroom'!$F$2:$F$300,MATCH(A103,'Botanical Storeroom'!$A$2:$A$300,0)),0)</f>
        <v>0</v>
      </c>
      <c r="S103" s="9">
        <f>IFERROR(INDEX('Botanical Bar'!$F$2:$F$300,MATCH(A103,'Botanical Bar'!$A$2:$A$300,0)),0)</f>
        <v>0</v>
      </c>
      <c r="T103" s="9">
        <f>IFERROR(INDEX('Loading Dock Fridge'!$F$2:$F$300,MATCH(A103,'Loading Dock Fridge'!$A$2:$A$300,0)),0)</f>
        <v>0</v>
      </c>
      <c r="U103" s="9">
        <f>IFERROR(INDEX('Postmix Loading Dock'!$F$2:$F$300,MATCH(A103,'Postmix Loading Dock'!$A$2:$A$300,0)),0)</f>
        <v>0</v>
      </c>
      <c r="V103" s="9">
        <f>IFERROR(INDEX('Postmix Lower Keg'!$F$2:$F$300,MATCH(A103,'Postmix Lower Keg'!$A$2:$A$300,0)),0)</f>
        <v>0</v>
      </c>
      <c r="W103" s="10">
        <f>IFERROR(INDEX('Postmix TWR'!$F$2:$F$300,MATCH(A103,'Postmix TWR'!$A$2:$A$300,0)),0)</f>
        <v>0</v>
      </c>
    </row>
    <row r="104" spans="1:23" x14ac:dyDescent="0.35">
      <c r="A104" s="8">
        <v>50514</v>
      </c>
      <c r="B104" s="9" t="s">
        <v>147</v>
      </c>
      <c r="C104" s="9" t="s">
        <v>136</v>
      </c>
      <c r="D104" s="9" t="s">
        <v>150</v>
      </c>
      <c r="E104" s="17">
        <v>6</v>
      </c>
      <c r="F104" s="23">
        <f t="shared" si="3"/>
        <v>0</v>
      </c>
      <c r="G104" s="9">
        <f>IFERROR(INDEX('Juice Fridge'!$F$2:$F$300,MATCH(A104,'Juice Fridge'!$A$2:$A$300,0)),0)</f>
        <v>0</v>
      </c>
      <c r="H104" s="9">
        <f>IFERROR(INDEX('Upper Keg'!$F$2:$F$300,MATCH(A104,'Upper Keg'!$A$2:$A$300,0)),0)</f>
        <v>0</v>
      </c>
      <c r="I104" s="9">
        <f>IFERROR(INDEX('Astral Bar'!$F$2:$F$300,MATCH(A104,'Astral Bar'!$A$2:$A$300,0)),0)</f>
        <v>0</v>
      </c>
      <c r="J104" s="9">
        <f>IFERROR(INDEX('GB1 Bar'!$F$2:$F$300,MATCH(A104,'GB1 Bar'!$A$2:$A$300,0)),0)</f>
        <v>0</v>
      </c>
      <c r="K104" s="9">
        <f>IFERROR(INDEX('GB2 Bar'!$F$2:$F$300,MATCH(A104,'GB2 Bar'!$A$2:$A$300,0)),0)</f>
        <v>0</v>
      </c>
      <c r="L104" s="9">
        <f>IFERROR(INDEX('CB1 Bar'!$F$2:$F$300,MATCH(A104,'CB1 Bar'!$A$2:$A$300,0)),0)</f>
        <v>0</v>
      </c>
      <c r="M104" s="9">
        <f>IFERROR(INDEX('CB2 Bar'!$F$2:$F$300,MATCH(A104,'CB2 Bar'!$A$2:$A$300,0)),0)</f>
        <v>0</v>
      </c>
      <c r="N104" s="9">
        <f>IFERROR(INDEX('CB3 Bar'!$F$2:$F$300,MATCH(A104,'CB3 Bar'!$A$2:$A$300,0)),0)</f>
        <v>0</v>
      </c>
      <c r="O104" s="9">
        <f>IFERROR(INDEX('Spirits Room'!$F$2:$F$300,MATCH(A104,'Spirits Room'!$A$2:$A$300,0)),0)</f>
        <v>0</v>
      </c>
      <c r="P104" s="9">
        <f>IFERROR(INDEX('White Wine Fridge'!$F$2:$F$300,MATCH(A104,'White Wine Fridge'!$A$2:$A$300,0)),0)</f>
        <v>0</v>
      </c>
      <c r="Q104" s="9">
        <f>IFERROR(INDEX('Lower Keg'!$F$2:$F$300,MATCH(A104,'Lower Keg'!$A$2:$A$300,0)),0)</f>
        <v>0</v>
      </c>
      <c r="R104" s="9">
        <f>IFERROR(INDEX('Botanical Storeroom'!$F$2:$F$300,MATCH(A104,'Botanical Storeroom'!$A$2:$A$300,0)),0)</f>
        <v>0</v>
      </c>
      <c r="S104" s="9">
        <f>IFERROR(INDEX('Botanical Bar'!$F$2:$F$300,MATCH(A104,'Botanical Bar'!$A$2:$A$300,0)),0)</f>
        <v>0</v>
      </c>
      <c r="T104" s="9">
        <f>IFERROR(INDEX('Loading Dock Fridge'!$F$2:$F$300,MATCH(A104,'Loading Dock Fridge'!$A$2:$A$300,0)),0)</f>
        <v>0</v>
      </c>
      <c r="U104" s="9">
        <f>IFERROR(INDEX('Postmix Loading Dock'!$F$2:$F$300,MATCH(A104,'Postmix Loading Dock'!$A$2:$A$300,0)),0)</f>
        <v>0</v>
      </c>
      <c r="V104" s="9">
        <f>IFERROR(INDEX('Postmix Lower Keg'!$F$2:$F$300,MATCH(A104,'Postmix Lower Keg'!$A$2:$A$300,0)),0)</f>
        <v>0</v>
      </c>
      <c r="W104" s="10">
        <f>IFERROR(INDEX('Postmix TWR'!$F$2:$F$300,MATCH(A104,'Postmix TWR'!$A$2:$A$300,0)),0)</f>
        <v>0</v>
      </c>
    </row>
    <row r="105" spans="1:23" x14ac:dyDescent="0.35">
      <c r="A105" s="8">
        <v>46889</v>
      </c>
      <c r="B105" s="9" t="s">
        <v>147</v>
      </c>
      <c r="C105" s="9" t="s">
        <v>136</v>
      </c>
      <c r="D105" s="9" t="s">
        <v>151</v>
      </c>
      <c r="E105" s="17">
        <v>6</v>
      </c>
      <c r="F105" s="23">
        <f t="shared" si="3"/>
        <v>0</v>
      </c>
      <c r="G105" s="9">
        <f>IFERROR(INDEX('Juice Fridge'!$F$2:$F$300,MATCH(A105,'Juice Fridge'!$A$2:$A$300,0)),0)</f>
        <v>0</v>
      </c>
      <c r="H105" s="9">
        <f>IFERROR(INDEX('Upper Keg'!$F$2:$F$300,MATCH(A105,'Upper Keg'!$A$2:$A$300,0)),0)</f>
        <v>0</v>
      </c>
      <c r="I105" s="9">
        <f>IFERROR(INDEX('Astral Bar'!$F$2:$F$300,MATCH(A105,'Astral Bar'!$A$2:$A$300,0)),0)</f>
        <v>0</v>
      </c>
      <c r="J105" s="9">
        <f>IFERROR(INDEX('GB1 Bar'!$F$2:$F$300,MATCH(A105,'GB1 Bar'!$A$2:$A$300,0)),0)</f>
        <v>0</v>
      </c>
      <c r="K105" s="9">
        <f>IFERROR(INDEX('GB2 Bar'!$F$2:$F$300,MATCH(A105,'GB2 Bar'!$A$2:$A$300,0)),0)</f>
        <v>0</v>
      </c>
      <c r="L105" s="9">
        <f>IFERROR(INDEX('CB1 Bar'!$F$2:$F$300,MATCH(A105,'CB1 Bar'!$A$2:$A$300,0)),0)</f>
        <v>0</v>
      </c>
      <c r="M105" s="9">
        <f>IFERROR(INDEX('CB2 Bar'!$F$2:$F$300,MATCH(A105,'CB2 Bar'!$A$2:$A$300,0)),0)</f>
        <v>0</v>
      </c>
      <c r="N105" s="9">
        <f>IFERROR(INDEX('CB3 Bar'!$F$2:$F$300,MATCH(A105,'CB3 Bar'!$A$2:$A$300,0)),0)</f>
        <v>0</v>
      </c>
      <c r="O105" s="9">
        <f>IFERROR(INDEX('Spirits Room'!$F$2:$F$300,MATCH(A105,'Spirits Room'!$A$2:$A$300,0)),0)</f>
        <v>0</v>
      </c>
      <c r="P105" s="9">
        <f>IFERROR(INDEX('White Wine Fridge'!$F$2:$F$300,MATCH(A105,'White Wine Fridge'!$A$2:$A$300,0)),0)</f>
        <v>0</v>
      </c>
      <c r="Q105" s="9">
        <f>IFERROR(INDEX('Lower Keg'!$F$2:$F$300,MATCH(A105,'Lower Keg'!$A$2:$A$300,0)),0)</f>
        <v>0</v>
      </c>
      <c r="R105" s="9">
        <f>IFERROR(INDEX('Botanical Storeroom'!$F$2:$F$300,MATCH(A105,'Botanical Storeroom'!$A$2:$A$300,0)),0)</f>
        <v>0</v>
      </c>
      <c r="S105" s="9">
        <f>IFERROR(INDEX('Botanical Bar'!$F$2:$F$300,MATCH(A105,'Botanical Bar'!$A$2:$A$300,0)),0)</f>
        <v>0</v>
      </c>
      <c r="T105" s="9">
        <f>IFERROR(INDEX('Loading Dock Fridge'!$F$2:$F$300,MATCH(A105,'Loading Dock Fridge'!$A$2:$A$300,0)),0)</f>
        <v>0</v>
      </c>
      <c r="U105" s="9">
        <f>IFERROR(INDEX('Postmix Loading Dock'!$F$2:$F$300,MATCH(A105,'Postmix Loading Dock'!$A$2:$A$300,0)),0)</f>
        <v>0</v>
      </c>
      <c r="V105" s="9">
        <f>IFERROR(INDEX('Postmix Lower Keg'!$F$2:$F$300,MATCH(A105,'Postmix Lower Keg'!$A$2:$A$300,0)),0)</f>
        <v>0</v>
      </c>
      <c r="W105" s="10">
        <f>IFERROR(INDEX('Postmix TWR'!$F$2:$F$300,MATCH(A105,'Postmix TWR'!$A$2:$A$300,0)),0)</f>
        <v>0</v>
      </c>
    </row>
    <row r="106" spans="1:23" x14ac:dyDescent="0.35">
      <c r="A106" s="8">
        <v>54488</v>
      </c>
      <c r="B106" s="9" t="s">
        <v>147</v>
      </c>
      <c r="C106" s="9" t="s">
        <v>136</v>
      </c>
      <c r="D106" s="9" t="s">
        <v>152</v>
      </c>
      <c r="E106" s="17">
        <v>6</v>
      </c>
      <c r="F106" s="23">
        <f t="shared" si="3"/>
        <v>0</v>
      </c>
      <c r="G106" s="9">
        <f>IFERROR(INDEX('Juice Fridge'!$F$2:$F$300,MATCH(A106,'Juice Fridge'!$A$2:$A$300,0)),0)</f>
        <v>0</v>
      </c>
      <c r="H106" s="9">
        <f>IFERROR(INDEX('Upper Keg'!$F$2:$F$300,MATCH(A106,'Upper Keg'!$A$2:$A$300,0)),0)</f>
        <v>0</v>
      </c>
      <c r="I106" s="9">
        <f>IFERROR(INDEX('Astral Bar'!$F$2:$F$300,MATCH(A106,'Astral Bar'!$A$2:$A$300,0)),0)</f>
        <v>0</v>
      </c>
      <c r="J106" s="9">
        <f>IFERROR(INDEX('GB1 Bar'!$F$2:$F$300,MATCH(A106,'GB1 Bar'!$A$2:$A$300,0)),0)</f>
        <v>0</v>
      </c>
      <c r="K106" s="9">
        <f>IFERROR(INDEX('GB2 Bar'!$F$2:$F$300,MATCH(A106,'GB2 Bar'!$A$2:$A$300,0)),0)</f>
        <v>0</v>
      </c>
      <c r="L106" s="9">
        <f>IFERROR(INDEX('CB1 Bar'!$F$2:$F$300,MATCH(A106,'CB1 Bar'!$A$2:$A$300,0)),0)</f>
        <v>0</v>
      </c>
      <c r="M106" s="9">
        <f>IFERROR(INDEX('CB2 Bar'!$F$2:$F$300,MATCH(A106,'CB2 Bar'!$A$2:$A$300,0)),0)</f>
        <v>0</v>
      </c>
      <c r="N106" s="9">
        <f>IFERROR(INDEX('CB3 Bar'!$F$2:$F$300,MATCH(A106,'CB3 Bar'!$A$2:$A$300,0)),0)</f>
        <v>0</v>
      </c>
      <c r="O106" s="9">
        <f>IFERROR(INDEX('Spirits Room'!$F$2:$F$300,MATCH(A106,'Spirits Room'!$A$2:$A$300,0)),0)</f>
        <v>0</v>
      </c>
      <c r="P106" s="9">
        <f>IFERROR(INDEX('White Wine Fridge'!$F$2:$F$300,MATCH(A106,'White Wine Fridge'!$A$2:$A$300,0)),0)</f>
        <v>0</v>
      </c>
      <c r="Q106" s="9">
        <f>IFERROR(INDEX('Lower Keg'!$F$2:$F$300,MATCH(A106,'Lower Keg'!$A$2:$A$300,0)),0)</f>
        <v>0</v>
      </c>
      <c r="R106" s="9">
        <f>IFERROR(INDEX('Botanical Storeroom'!$F$2:$F$300,MATCH(A106,'Botanical Storeroom'!$A$2:$A$300,0)),0)</f>
        <v>0</v>
      </c>
      <c r="S106" s="9">
        <f>IFERROR(INDEX('Botanical Bar'!$F$2:$F$300,MATCH(A106,'Botanical Bar'!$A$2:$A$300,0)),0)</f>
        <v>0</v>
      </c>
      <c r="T106" s="9">
        <f>IFERROR(INDEX('Loading Dock Fridge'!$F$2:$F$300,MATCH(A106,'Loading Dock Fridge'!$A$2:$A$300,0)),0)</f>
        <v>0</v>
      </c>
      <c r="U106" s="9">
        <f>IFERROR(INDEX('Postmix Loading Dock'!$F$2:$F$300,MATCH(A106,'Postmix Loading Dock'!$A$2:$A$300,0)),0)</f>
        <v>0</v>
      </c>
      <c r="V106" s="9">
        <f>IFERROR(INDEX('Postmix Lower Keg'!$F$2:$F$300,MATCH(A106,'Postmix Lower Keg'!$A$2:$A$300,0)),0)</f>
        <v>0</v>
      </c>
      <c r="W106" s="10">
        <f>IFERROR(INDEX('Postmix TWR'!$F$2:$F$300,MATCH(A106,'Postmix TWR'!$A$2:$A$300,0)),0)</f>
        <v>0</v>
      </c>
    </row>
    <row r="107" spans="1:23" x14ac:dyDescent="0.35">
      <c r="A107" s="8">
        <v>54489</v>
      </c>
      <c r="B107" s="9" t="s">
        <v>147</v>
      </c>
      <c r="C107" s="9" t="s">
        <v>136</v>
      </c>
      <c r="D107" s="9" t="s">
        <v>153</v>
      </c>
      <c r="E107" s="17">
        <v>6</v>
      </c>
      <c r="F107" s="23">
        <f t="shared" si="3"/>
        <v>0</v>
      </c>
      <c r="G107" s="9">
        <f>IFERROR(INDEX('Juice Fridge'!$F$2:$F$300,MATCH(A107,'Juice Fridge'!$A$2:$A$300,0)),0)</f>
        <v>0</v>
      </c>
      <c r="H107" s="9">
        <f>IFERROR(INDEX('Upper Keg'!$F$2:$F$300,MATCH(A107,'Upper Keg'!$A$2:$A$300,0)),0)</f>
        <v>0</v>
      </c>
      <c r="I107" s="9">
        <f>IFERROR(INDEX('Astral Bar'!$F$2:$F$300,MATCH(A107,'Astral Bar'!$A$2:$A$300,0)),0)</f>
        <v>0</v>
      </c>
      <c r="J107" s="9">
        <f>IFERROR(INDEX('GB1 Bar'!$F$2:$F$300,MATCH(A107,'GB1 Bar'!$A$2:$A$300,0)),0)</f>
        <v>0</v>
      </c>
      <c r="K107" s="9">
        <f>IFERROR(INDEX('GB2 Bar'!$F$2:$F$300,MATCH(A107,'GB2 Bar'!$A$2:$A$300,0)),0)</f>
        <v>0</v>
      </c>
      <c r="L107" s="9">
        <f>IFERROR(INDEX('CB1 Bar'!$F$2:$F$300,MATCH(A107,'CB1 Bar'!$A$2:$A$300,0)),0)</f>
        <v>0</v>
      </c>
      <c r="M107" s="9">
        <f>IFERROR(INDEX('CB2 Bar'!$F$2:$F$300,MATCH(A107,'CB2 Bar'!$A$2:$A$300,0)),0)</f>
        <v>0</v>
      </c>
      <c r="N107" s="9">
        <f>IFERROR(INDEX('CB3 Bar'!$F$2:$F$300,MATCH(A107,'CB3 Bar'!$A$2:$A$300,0)),0)</f>
        <v>0</v>
      </c>
      <c r="O107" s="9">
        <f>IFERROR(INDEX('Spirits Room'!$F$2:$F$300,MATCH(A107,'Spirits Room'!$A$2:$A$300,0)),0)</f>
        <v>0</v>
      </c>
      <c r="P107" s="9">
        <f>IFERROR(INDEX('White Wine Fridge'!$F$2:$F$300,MATCH(A107,'White Wine Fridge'!$A$2:$A$300,0)),0)</f>
        <v>0</v>
      </c>
      <c r="Q107" s="9">
        <f>IFERROR(INDEX('Lower Keg'!$F$2:$F$300,MATCH(A107,'Lower Keg'!$A$2:$A$300,0)),0)</f>
        <v>0</v>
      </c>
      <c r="R107" s="9">
        <f>IFERROR(INDEX('Botanical Storeroom'!$F$2:$F$300,MATCH(A107,'Botanical Storeroom'!$A$2:$A$300,0)),0)</f>
        <v>0</v>
      </c>
      <c r="S107" s="9">
        <f>IFERROR(INDEX('Botanical Bar'!$F$2:$F$300,MATCH(A107,'Botanical Bar'!$A$2:$A$300,0)),0)</f>
        <v>0</v>
      </c>
      <c r="T107" s="9">
        <f>IFERROR(INDEX('Loading Dock Fridge'!$F$2:$F$300,MATCH(A107,'Loading Dock Fridge'!$A$2:$A$300,0)),0)</f>
        <v>0</v>
      </c>
      <c r="U107" s="9">
        <f>IFERROR(INDEX('Postmix Loading Dock'!$F$2:$F$300,MATCH(A107,'Postmix Loading Dock'!$A$2:$A$300,0)),0)</f>
        <v>0</v>
      </c>
      <c r="V107" s="9">
        <f>IFERROR(INDEX('Postmix Lower Keg'!$F$2:$F$300,MATCH(A107,'Postmix Lower Keg'!$A$2:$A$300,0)),0)</f>
        <v>0</v>
      </c>
      <c r="W107" s="10">
        <f>IFERROR(INDEX('Postmix TWR'!$F$2:$F$300,MATCH(A107,'Postmix TWR'!$A$2:$A$300,0)),0)</f>
        <v>0</v>
      </c>
    </row>
    <row r="108" spans="1:23" x14ac:dyDescent="0.35">
      <c r="A108" s="8">
        <v>46217</v>
      </c>
      <c r="B108" s="9" t="s">
        <v>147</v>
      </c>
      <c r="C108" s="9" t="s">
        <v>136</v>
      </c>
      <c r="D108" s="9" t="s">
        <v>154</v>
      </c>
      <c r="E108" s="17">
        <v>12</v>
      </c>
      <c r="F108" s="23">
        <f t="shared" si="3"/>
        <v>0</v>
      </c>
      <c r="G108" s="9">
        <f>IFERROR(INDEX('Juice Fridge'!$F$2:$F$300,MATCH(A108,'Juice Fridge'!$A$2:$A$300,0)),0)</f>
        <v>0</v>
      </c>
      <c r="H108" s="9">
        <f>IFERROR(INDEX('Upper Keg'!$F$2:$F$300,MATCH(A108,'Upper Keg'!$A$2:$A$300,0)),0)</f>
        <v>0</v>
      </c>
      <c r="I108" s="9">
        <f>IFERROR(INDEX('Astral Bar'!$F$2:$F$300,MATCH(A108,'Astral Bar'!$A$2:$A$300,0)),0)</f>
        <v>0</v>
      </c>
      <c r="J108" s="9">
        <f>IFERROR(INDEX('GB1 Bar'!$F$2:$F$300,MATCH(A108,'GB1 Bar'!$A$2:$A$300,0)),0)</f>
        <v>0</v>
      </c>
      <c r="K108" s="9">
        <f>IFERROR(INDEX('GB2 Bar'!$F$2:$F$300,MATCH(A108,'GB2 Bar'!$A$2:$A$300,0)),0)</f>
        <v>0</v>
      </c>
      <c r="L108" s="9">
        <f>IFERROR(INDEX('CB1 Bar'!$F$2:$F$300,MATCH(A108,'CB1 Bar'!$A$2:$A$300,0)),0)</f>
        <v>0</v>
      </c>
      <c r="M108" s="9">
        <f>IFERROR(INDEX('CB2 Bar'!$F$2:$F$300,MATCH(A108,'CB2 Bar'!$A$2:$A$300,0)),0)</f>
        <v>0</v>
      </c>
      <c r="N108" s="9">
        <f>IFERROR(INDEX('CB3 Bar'!$F$2:$F$300,MATCH(A108,'CB3 Bar'!$A$2:$A$300,0)),0)</f>
        <v>0</v>
      </c>
      <c r="O108" s="9">
        <f>IFERROR(INDEX('Spirits Room'!$F$2:$F$300,MATCH(A108,'Spirits Room'!$A$2:$A$300,0)),0)</f>
        <v>0</v>
      </c>
      <c r="P108" s="9">
        <f>IFERROR(INDEX('White Wine Fridge'!$F$2:$F$300,MATCH(A108,'White Wine Fridge'!$A$2:$A$300,0)),0)</f>
        <v>0</v>
      </c>
      <c r="Q108" s="9">
        <f>IFERROR(INDEX('Lower Keg'!$F$2:$F$300,MATCH(A108,'Lower Keg'!$A$2:$A$300,0)),0)</f>
        <v>0</v>
      </c>
      <c r="R108" s="9">
        <f>IFERROR(INDEX('Botanical Storeroom'!$F$2:$F$300,MATCH(A108,'Botanical Storeroom'!$A$2:$A$300,0)),0)</f>
        <v>0</v>
      </c>
      <c r="S108" s="9">
        <f>IFERROR(INDEX('Botanical Bar'!$F$2:$F$300,MATCH(A108,'Botanical Bar'!$A$2:$A$300,0)),0)</f>
        <v>0</v>
      </c>
      <c r="T108" s="9">
        <f>IFERROR(INDEX('Loading Dock Fridge'!$F$2:$F$300,MATCH(A108,'Loading Dock Fridge'!$A$2:$A$300,0)),0)</f>
        <v>0</v>
      </c>
      <c r="U108" s="9">
        <f>IFERROR(INDEX('Postmix Loading Dock'!$F$2:$F$300,MATCH(A108,'Postmix Loading Dock'!$A$2:$A$300,0)),0)</f>
        <v>0</v>
      </c>
      <c r="V108" s="9">
        <f>IFERROR(INDEX('Postmix Lower Keg'!$F$2:$F$300,MATCH(A108,'Postmix Lower Keg'!$A$2:$A$300,0)),0)</f>
        <v>0</v>
      </c>
      <c r="W108" s="10">
        <f>IFERROR(INDEX('Postmix TWR'!$F$2:$F$300,MATCH(A108,'Postmix TWR'!$A$2:$A$300,0)),0)</f>
        <v>0</v>
      </c>
    </row>
    <row r="109" spans="1:23" x14ac:dyDescent="0.35">
      <c r="A109" s="8">
        <v>90</v>
      </c>
      <c r="B109" s="9" t="s">
        <v>155</v>
      </c>
      <c r="C109" s="9" t="s">
        <v>156</v>
      </c>
      <c r="D109" s="9" t="s">
        <v>157</v>
      </c>
      <c r="E109" s="17">
        <v>6</v>
      </c>
      <c r="F109" s="23">
        <f t="shared" si="3"/>
        <v>0</v>
      </c>
      <c r="G109" s="9">
        <f>IFERROR(INDEX('Juice Fridge'!$F$2:$F$300,MATCH(A109,'Juice Fridge'!$A$2:$A$300,0)),0)</f>
        <v>0</v>
      </c>
      <c r="H109" s="9">
        <f>IFERROR(INDEX('Upper Keg'!$F$2:$F$300,MATCH(A109,'Upper Keg'!$A$2:$A$300,0)),0)</f>
        <v>0</v>
      </c>
      <c r="I109" s="9">
        <f>IFERROR(INDEX('Astral Bar'!$F$2:$F$300,MATCH(A109,'Astral Bar'!$A$2:$A$300,0)),0)</f>
        <v>0</v>
      </c>
      <c r="J109" s="9">
        <f>IFERROR(INDEX('GB1 Bar'!$F$2:$F$300,MATCH(A109,'GB1 Bar'!$A$2:$A$300,0)),0)</f>
        <v>0</v>
      </c>
      <c r="K109" s="9">
        <f>IFERROR(INDEX('GB2 Bar'!$F$2:$F$300,MATCH(A109,'GB2 Bar'!$A$2:$A$300,0)),0)</f>
        <v>0</v>
      </c>
      <c r="L109" s="9">
        <f>IFERROR(INDEX('CB1 Bar'!$F$2:$F$300,MATCH(A109,'CB1 Bar'!$A$2:$A$300,0)),0)</f>
        <v>0</v>
      </c>
      <c r="M109" s="9">
        <f>IFERROR(INDEX('CB2 Bar'!$F$2:$F$300,MATCH(A109,'CB2 Bar'!$A$2:$A$300,0)),0)</f>
        <v>0</v>
      </c>
      <c r="N109" s="9">
        <f>IFERROR(INDEX('CB3 Bar'!$F$2:$F$300,MATCH(A109,'CB3 Bar'!$A$2:$A$300,0)),0)</f>
        <v>0</v>
      </c>
      <c r="O109" s="9">
        <f>IFERROR(INDEX('Spirits Room'!$F$2:$F$300,MATCH(A109,'Spirits Room'!$A$2:$A$300,0)),0)</f>
        <v>0</v>
      </c>
      <c r="P109" s="9">
        <f>IFERROR(INDEX('White Wine Fridge'!$F$2:$F$300,MATCH(A109,'White Wine Fridge'!$A$2:$A$300,0)),0)</f>
        <v>0</v>
      </c>
      <c r="Q109" s="9">
        <f>IFERROR(INDEX('Lower Keg'!$F$2:$F$300,MATCH(A109,'Lower Keg'!$A$2:$A$300,0)),0)</f>
        <v>0</v>
      </c>
      <c r="R109" s="9">
        <f>IFERROR(INDEX('Botanical Storeroom'!$F$2:$F$300,MATCH(A109,'Botanical Storeroom'!$A$2:$A$300,0)),0)</f>
        <v>0</v>
      </c>
      <c r="S109" s="9">
        <f>IFERROR(INDEX('Botanical Bar'!$F$2:$F$300,MATCH(A109,'Botanical Bar'!$A$2:$A$300,0)),0)</f>
        <v>0</v>
      </c>
      <c r="T109" s="9">
        <f>IFERROR(INDEX('Loading Dock Fridge'!$F$2:$F$300,MATCH(A109,'Loading Dock Fridge'!$A$2:$A$300,0)),0)</f>
        <v>0</v>
      </c>
      <c r="U109" s="9">
        <f>IFERROR(INDEX('Postmix Loading Dock'!$F$2:$F$300,MATCH(A109,'Postmix Loading Dock'!$A$2:$A$300,0)),0)</f>
        <v>0</v>
      </c>
      <c r="V109" s="9">
        <f>IFERROR(INDEX('Postmix Lower Keg'!$F$2:$F$300,MATCH(A109,'Postmix Lower Keg'!$A$2:$A$300,0)),0)</f>
        <v>0</v>
      </c>
      <c r="W109" s="10">
        <f>IFERROR(INDEX('Postmix TWR'!$F$2:$F$300,MATCH(A109,'Postmix TWR'!$A$2:$A$300,0)),0)</f>
        <v>0</v>
      </c>
    </row>
    <row r="110" spans="1:23" x14ac:dyDescent="0.35">
      <c r="A110" s="8">
        <v>45247</v>
      </c>
      <c r="B110" s="9" t="s">
        <v>158</v>
      </c>
      <c r="C110" s="9" t="s">
        <v>156</v>
      </c>
      <c r="D110" s="9" t="s">
        <v>159</v>
      </c>
      <c r="E110" s="17">
        <v>6</v>
      </c>
      <c r="F110" s="23">
        <f t="shared" si="3"/>
        <v>0</v>
      </c>
      <c r="G110" s="9">
        <f>IFERROR(INDEX('Juice Fridge'!$F$2:$F$300,MATCH(A110,'Juice Fridge'!$A$2:$A$300,0)),0)</f>
        <v>0</v>
      </c>
      <c r="H110" s="9">
        <f>IFERROR(INDEX('Upper Keg'!$F$2:$F$300,MATCH(A110,'Upper Keg'!$A$2:$A$300,0)),0)</f>
        <v>0</v>
      </c>
      <c r="I110" s="9">
        <f>IFERROR(INDEX('Astral Bar'!$F$2:$F$300,MATCH(A110,'Astral Bar'!$A$2:$A$300,0)),0)</f>
        <v>0</v>
      </c>
      <c r="J110" s="9">
        <f>IFERROR(INDEX('GB1 Bar'!$F$2:$F$300,MATCH(A110,'GB1 Bar'!$A$2:$A$300,0)),0)</f>
        <v>0</v>
      </c>
      <c r="K110" s="9">
        <f>IFERROR(INDEX('GB2 Bar'!$F$2:$F$300,MATCH(A110,'GB2 Bar'!$A$2:$A$300,0)),0)</f>
        <v>0</v>
      </c>
      <c r="L110" s="9">
        <f>IFERROR(INDEX('CB1 Bar'!$F$2:$F$300,MATCH(A110,'CB1 Bar'!$A$2:$A$300,0)),0)</f>
        <v>0</v>
      </c>
      <c r="M110" s="9">
        <f>IFERROR(INDEX('CB2 Bar'!$F$2:$F$300,MATCH(A110,'CB2 Bar'!$A$2:$A$300,0)),0)</f>
        <v>0</v>
      </c>
      <c r="N110" s="9">
        <f>IFERROR(INDEX('CB3 Bar'!$F$2:$F$300,MATCH(A110,'CB3 Bar'!$A$2:$A$300,0)),0)</f>
        <v>0</v>
      </c>
      <c r="O110" s="9">
        <f>IFERROR(INDEX('Spirits Room'!$F$2:$F$300,MATCH(A110,'Spirits Room'!$A$2:$A$300,0)),0)</f>
        <v>0</v>
      </c>
      <c r="P110" s="9">
        <f>IFERROR(INDEX('White Wine Fridge'!$F$2:$F$300,MATCH(A110,'White Wine Fridge'!$A$2:$A$300,0)),0)</f>
        <v>0</v>
      </c>
      <c r="Q110" s="9">
        <f>IFERROR(INDEX('Lower Keg'!$F$2:$F$300,MATCH(A110,'Lower Keg'!$A$2:$A$300,0)),0)</f>
        <v>0</v>
      </c>
      <c r="R110" s="9">
        <f>IFERROR(INDEX('Botanical Storeroom'!$F$2:$F$300,MATCH(A110,'Botanical Storeroom'!$A$2:$A$300,0)),0)</f>
        <v>0</v>
      </c>
      <c r="S110" s="9">
        <f>IFERROR(INDEX('Botanical Bar'!$F$2:$F$300,MATCH(A110,'Botanical Bar'!$A$2:$A$300,0)),0)</f>
        <v>0</v>
      </c>
      <c r="T110" s="9">
        <f>IFERROR(INDEX('Loading Dock Fridge'!$F$2:$F$300,MATCH(A110,'Loading Dock Fridge'!$A$2:$A$300,0)),0)</f>
        <v>0</v>
      </c>
      <c r="U110" s="9">
        <f>IFERROR(INDEX('Postmix Loading Dock'!$F$2:$F$300,MATCH(A110,'Postmix Loading Dock'!$A$2:$A$300,0)),0)</f>
        <v>0</v>
      </c>
      <c r="V110" s="9">
        <f>IFERROR(INDEX('Postmix Lower Keg'!$F$2:$F$300,MATCH(A110,'Postmix Lower Keg'!$A$2:$A$300,0)),0)</f>
        <v>0</v>
      </c>
      <c r="W110" s="10">
        <f>IFERROR(INDEX('Postmix TWR'!$F$2:$F$300,MATCH(A110,'Postmix TWR'!$A$2:$A$300,0)),0)</f>
        <v>0</v>
      </c>
    </row>
    <row r="111" spans="1:23" x14ac:dyDescent="0.35">
      <c r="A111" s="8">
        <v>16</v>
      </c>
      <c r="B111" s="9" t="s">
        <v>158</v>
      </c>
      <c r="C111" s="9" t="s">
        <v>156</v>
      </c>
      <c r="D111" s="9" t="s">
        <v>160</v>
      </c>
      <c r="E111" s="17">
        <v>6</v>
      </c>
      <c r="F111" s="23">
        <f t="shared" si="3"/>
        <v>0</v>
      </c>
      <c r="G111" s="9">
        <f>IFERROR(INDEX('Juice Fridge'!$F$2:$F$300,MATCH(A111,'Juice Fridge'!$A$2:$A$300,0)),0)</f>
        <v>0</v>
      </c>
      <c r="H111" s="9">
        <f>IFERROR(INDEX('Upper Keg'!$F$2:$F$300,MATCH(A111,'Upper Keg'!$A$2:$A$300,0)),0)</f>
        <v>0</v>
      </c>
      <c r="I111" s="9">
        <f>IFERROR(INDEX('Astral Bar'!$F$2:$F$300,MATCH(A111,'Astral Bar'!$A$2:$A$300,0)),0)</f>
        <v>0</v>
      </c>
      <c r="J111" s="9">
        <f>IFERROR(INDEX('GB1 Bar'!$F$2:$F$300,MATCH(A111,'GB1 Bar'!$A$2:$A$300,0)),0)</f>
        <v>0</v>
      </c>
      <c r="K111" s="9">
        <f>IFERROR(INDEX('GB2 Bar'!$F$2:$F$300,MATCH(A111,'GB2 Bar'!$A$2:$A$300,0)),0)</f>
        <v>0</v>
      </c>
      <c r="L111" s="9">
        <f>IFERROR(INDEX('CB1 Bar'!$F$2:$F$300,MATCH(A111,'CB1 Bar'!$A$2:$A$300,0)),0)</f>
        <v>0</v>
      </c>
      <c r="M111" s="9">
        <f>IFERROR(INDEX('CB2 Bar'!$F$2:$F$300,MATCH(A111,'CB2 Bar'!$A$2:$A$300,0)),0)</f>
        <v>0</v>
      </c>
      <c r="N111" s="9">
        <f>IFERROR(INDEX('CB3 Bar'!$F$2:$F$300,MATCH(A111,'CB3 Bar'!$A$2:$A$300,0)),0)</f>
        <v>0</v>
      </c>
      <c r="O111" s="9">
        <f>IFERROR(INDEX('Spirits Room'!$F$2:$F$300,MATCH(A111,'Spirits Room'!$A$2:$A$300,0)),0)</f>
        <v>0</v>
      </c>
      <c r="P111" s="9">
        <f>IFERROR(INDEX('White Wine Fridge'!$F$2:$F$300,MATCH(A111,'White Wine Fridge'!$A$2:$A$300,0)),0)</f>
        <v>0</v>
      </c>
      <c r="Q111" s="9">
        <f>IFERROR(INDEX('Lower Keg'!$F$2:$F$300,MATCH(A111,'Lower Keg'!$A$2:$A$300,0)),0)</f>
        <v>0</v>
      </c>
      <c r="R111" s="9">
        <f>IFERROR(INDEX('Botanical Storeroom'!$F$2:$F$300,MATCH(A111,'Botanical Storeroom'!$A$2:$A$300,0)),0)</f>
        <v>0</v>
      </c>
      <c r="S111" s="9">
        <f>IFERROR(INDEX('Botanical Bar'!$F$2:$F$300,MATCH(A111,'Botanical Bar'!$A$2:$A$300,0)),0)</f>
        <v>0</v>
      </c>
      <c r="T111" s="9">
        <f>IFERROR(INDEX('Loading Dock Fridge'!$F$2:$F$300,MATCH(A111,'Loading Dock Fridge'!$A$2:$A$300,0)),0)</f>
        <v>0</v>
      </c>
      <c r="U111" s="9">
        <f>IFERROR(INDEX('Postmix Loading Dock'!$F$2:$F$300,MATCH(A111,'Postmix Loading Dock'!$A$2:$A$300,0)),0)</f>
        <v>0</v>
      </c>
      <c r="V111" s="9">
        <f>IFERROR(INDEX('Postmix Lower Keg'!$F$2:$F$300,MATCH(A111,'Postmix Lower Keg'!$A$2:$A$300,0)),0)</f>
        <v>0</v>
      </c>
      <c r="W111" s="10">
        <f>IFERROR(INDEX('Postmix TWR'!$F$2:$F$300,MATCH(A111,'Postmix TWR'!$A$2:$A$300,0)),0)</f>
        <v>0</v>
      </c>
    </row>
    <row r="112" spans="1:23" x14ac:dyDescent="0.35">
      <c r="A112" s="8">
        <v>13235</v>
      </c>
      <c r="B112" s="9" t="s">
        <v>158</v>
      </c>
      <c r="C112" s="9" t="s">
        <v>156</v>
      </c>
      <c r="D112" s="9" t="s">
        <v>161</v>
      </c>
      <c r="E112" s="17">
        <v>6</v>
      </c>
      <c r="F112" s="23">
        <f t="shared" si="3"/>
        <v>0</v>
      </c>
      <c r="G112" s="9">
        <f>IFERROR(INDEX('Juice Fridge'!$F$2:$F$300,MATCH(A112,'Juice Fridge'!$A$2:$A$300,0)),0)</f>
        <v>0</v>
      </c>
      <c r="H112" s="9">
        <f>IFERROR(INDEX('Upper Keg'!$F$2:$F$300,MATCH(A112,'Upper Keg'!$A$2:$A$300,0)),0)</f>
        <v>0</v>
      </c>
      <c r="I112" s="9">
        <f>IFERROR(INDEX('Astral Bar'!$F$2:$F$300,MATCH(A112,'Astral Bar'!$A$2:$A$300,0)),0)</f>
        <v>0</v>
      </c>
      <c r="J112" s="9">
        <f>IFERROR(INDEX('GB1 Bar'!$F$2:$F$300,MATCH(A112,'GB1 Bar'!$A$2:$A$300,0)),0)</f>
        <v>0</v>
      </c>
      <c r="K112" s="9">
        <f>IFERROR(INDEX('GB2 Bar'!$F$2:$F$300,MATCH(A112,'GB2 Bar'!$A$2:$A$300,0)),0)</f>
        <v>0</v>
      </c>
      <c r="L112" s="9">
        <f>IFERROR(INDEX('CB1 Bar'!$F$2:$F$300,MATCH(A112,'CB1 Bar'!$A$2:$A$300,0)),0)</f>
        <v>0</v>
      </c>
      <c r="M112" s="9">
        <f>IFERROR(INDEX('CB2 Bar'!$F$2:$F$300,MATCH(A112,'CB2 Bar'!$A$2:$A$300,0)),0)</f>
        <v>0</v>
      </c>
      <c r="N112" s="9">
        <f>IFERROR(INDEX('CB3 Bar'!$F$2:$F$300,MATCH(A112,'CB3 Bar'!$A$2:$A$300,0)),0)</f>
        <v>0</v>
      </c>
      <c r="O112" s="9">
        <f>IFERROR(INDEX('Spirits Room'!$F$2:$F$300,MATCH(A112,'Spirits Room'!$A$2:$A$300,0)),0)</f>
        <v>0</v>
      </c>
      <c r="P112" s="9">
        <f>IFERROR(INDEX('White Wine Fridge'!$F$2:$F$300,MATCH(A112,'White Wine Fridge'!$A$2:$A$300,0)),0)</f>
        <v>0</v>
      </c>
      <c r="Q112" s="9">
        <f>IFERROR(INDEX('Lower Keg'!$F$2:$F$300,MATCH(A112,'Lower Keg'!$A$2:$A$300,0)),0)</f>
        <v>0</v>
      </c>
      <c r="R112" s="9">
        <f>IFERROR(INDEX('Botanical Storeroom'!$F$2:$F$300,MATCH(A112,'Botanical Storeroom'!$A$2:$A$300,0)),0)</f>
        <v>0</v>
      </c>
      <c r="S112" s="9">
        <f>IFERROR(INDEX('Botanical Bar'!$F$2:$F$300,MATCH(A112,'Botanical Bar'!$A$2:$A$300,0)),0)</f>
        <v>0</v>
      </c>
      <c r="T112" s="9">
        <f>IFERROR(INDEX('Loading Dock Fridge'!$F$2:$F$300,MATCH(A112,'Loading Dock Fridge'!$A$2:$A$300,0)),0)</f>
        <v>0</v>
      </c>
      <c r="U112" s="9">
        <f>IFERROR(INDEX('Postmix Loading Dock'!$F$2:$F$300,MATCH(A112,'Postmix Loading Dock'!$A$2:$A$300,0)),0)</f>
        <v>0</v>
      </c>
      <c r="V112" s="9">
        <f>IFERROR(INDEX('Postmix Lower Keg'!$F$2:$F$300,MATCH(A112,'Postmix Lower Keg'!$A$2:$A$300,0)),0)</f>
        <v>0</v>
      </c>
      <c r="W112" s="10">
        <f>IFERROR(INDEX('Postmix TWR'!$F$2:$F$300,MATCH(A112,'Postmix TWR'!$A$2:$A$300,0)),0)</f>
        <v>0</v>
      </c>
    </row>
    <row r="113" spans="1:23" x14ac:dyDescent="0.35">
      <c r="A113" s="8">
        <v>16264</v>
      </c>
      <c r="B113" s="9" t="s">
        <v>158</v>
      </c>
      <c r="C113" s="9" t="s">
        <v>156</v>
      </c>
      <c r="D113" s="9" t="s">
        <v>162</v>
      </c>
      <c r="E113" s="17">
        <v>6</v>
      </c>
      <c r="F113" s="23">
        <f t="shared" si="3"/>
        <v>0</v>
      </c>
      <c r="G113" s="9">
        <f>IFERROR(INDEX('Juice Fridge'!$F$2:$F$300,MATCH(A113,'Juice Fridge'!$A$2:$A$300,0)),0)</f>
        <v>0</v>
      </c>
      <c r="H113" s="9">
        <f>IFERROR(INDEX('Upper Keg'!$F$2:$F$300,MATCH(A113,'Upper Keg'!$A$2:$A$300,0)),0)</f>
        <v>0</v>
      </c>
      <c r="I113" s="9">
        <f>IFERROR(INDEX('Astral Bar'!$F$2:$F$300,MATCH(A113,'Astral Bar'!$A$2:$A$300,0)),0)</f>
        <v>0</v>
      </c>
      <c r="J113" s="9">
        <f>IFERROR(INDEX('GB1 Bar'!$F$2:$F$300,MATCH(A113,'GB1 Bar'!$A$2:$A$300,0)),0)</f>
        <v>0</v>
      </c>
      <c r="K113" s="9">
        <f>IFERROR(INDEX('GB2 Bar'!$F$2:$F$300,MATCH(A113,'GB2 Bar'!$A$2:$A$300,0)),0)</f>
        <v>0</v>
      </c>
      <c r="L113" s="9">
        <f>IFERROR(INDEX('CB1 Bar'!$F$2:$F$300,MATCH(A113,'CB1 Bar'!$A$2:$A$300,0)),0)</f>
        <v>0</v>
      </c>
      <c r="M113" s="9">
        <f>IFERROR(INDEX('CB2 Bar'!$F$2:$F$300,MATCH(A113,'CB2 Bar'!$A$2:$A$300,0)),0)</f>
        <v>0</v>
      </c>
      <c r="N113" s="9">
        <f>IFERROR(INDEX('CB3 Bar'!$F$2:$F$300,MATCH(A113,'CB3 Bar'!$A$2:$A$300,0)),0)</f>
        <v>0</v>
      </c>
      <c r="O113" s="9">
        <f>IFERROR(INDEX('Spirits Room'!$F$2:$F$300,MATCH(A113,'Spirits Room'!$A$2:$A$300,0)),0)</f>
        <v>0</v>
      </c>
      <c r="P113" s="9">
        <f>IFERROR(INDEX('White Wine Fridge'!$F$2:$F$300,MATCH(A113,'White Wine Fridge'!$A$2:$A$300,0)),0)</f>
        <v>0</v>
      </c>
      <c r="Q113" s="9">
        <f>IFERROR(INDEX('Lower Keg'!$F$2:$F$300,MATCH(A113,'Lower Keg'!$A$2:$A$300,0)),0)</f>
        <v>0</v>
      </c>
      <c r="R113" s="9">
        <f>IFERROR(INDEX('Botanical Storeroom'!$F$2:$F$300,MATCH(A113,'Botanical Storeroom'!$A$2:$A$300,0)),0)</f>
        <v>0</v>
      </c>
      <c r="S113" s="9">
        <f>IFERROR(INDEX('Botanical Bar'!$F$2:$F$300,MATCH(A113,'Botanical Bar'!$A$2:$A$300,0)),0)</f>
        <v>0</v>
      </c>
      <c r="T113" s="9">
        <f>IFERROR(INDEX('Loading Dock Fridge'!$F$2:$F$300,MATCH(A113,'Loading Dock Fridge'!$A$2:$A$300,0)),0)</f>
        <v>0</v>
      </c>
      <c r="U113" s="9">
        <f>IFERROR(INDEX('Postmix Loading Dock'!$F$2:$F$300,MATCH(A113,'Postmix Loading Dock'!$A$2:$A$300,0)),0)</f>
        <v>0</v>
      </c>
      <c r="V113" s="9">
        <f>IFERROR(INDEX('Postmix Lower Keg'!$F$2:$F$300,MATCH(A113,'Postmix Lower Keg'!$A$2:$A$300,0)),0)</f>
        <v>0</v>
      </c>
      <c r="W113" s="10">
        <f>IFERROR(INDEX('Postmix TWR'!$F$2:$F$300,MATCH(A113,'Postmix TWR'!$A$2:$A$300,0)),0)</f>
        <v>0</v>
      </c>
    </row>
    <row r="114" spans="1:23" x14ac:dyDescent="0.35">
      <c r="A114" s="8">
        <v>45248</v>
      </c>
      <c r="B114" s="9" t="s">
        <v>158</v>
      </c>
      <c r="C114" s="9" t="s">
        <v>156</v>
      </c>
      <c r="D114" s="9" t="s">
        <v>163</v>
      </c>
      <c r="E114" s="17">
        <v>6</v>
      </c>
      <c r="F114" s="23">
        <f t="shared" si="3"/>
        <v>0</v>
      </c>
      <c r="G114" s="9">
        <f>IFERROR(INDEX('Juice Fridge'!$F$2:$F$300,MATCH(A114,'Juice Fridge'!$A$2:$A$300,0)),0)</f>
        <v>0</v>
      </c>
      <c r="H114" s="9">
        <f>IFERROR(INDEX('Upper Keg'!$F$2:$F$300,MATCH(A114,'Upper Keg'!$A$2:$A$300,0)),0)</f>
        <v>0</v>
      </c>
      <c r="I114" s="9">
        <f>IFERROR(INDEX('Astral Bar'!$F$2:$F$300,MATCH(A114,'Astral Bar'!$A$2:$A$300,0)),0)</f>
        <v>0</v>
      </c>
      <c r="J114" s="9">
        <f>IFERROR(INDEX('GB1 Bar'!$F$2:$F$300,MATCH(A114,'GB1 Bar'!$A$2:$A$300,0)),0)</f>
        <v>0</v>
      </c>
      <c r="K114" s="9">
        <f>IFERROR(INDEX('GB2 Bar'!$F$2:$F$300,MATCH(A114,'GB2 Bar'!$A$2:$A$300,0)),0)</f>
        <v>0</v>
      </c>
      <c r="L114" s="9">
        <f>IFERROR(INDEX('CB1 Bar'!$F$2:$F$300,MATCH(A114,'CB1 Bar'!$A$2:$A$300,0)),0)</f>
        <v>0</v>
      </c>
      <c r="M114" s="9">
        <f>IFERROR(INDEX('CB2 Bar'!$F$2:$F$300,MATCH(A114,'CB2 Bar'!$A$2:$A$300,0)),0)</f>
        <v>0</v>
      </c>
      <c r="N114" s="9">
        <f>IFERROR(INDEX('CB3 Bar'!$F$2:$F$300,MATCH(A114,'CB3 Bar'!$A$2:$A$300,0)),0)</f>
        <v>0</v>
      </c>
      <c r="O114" s="9">
        <f>IFERROR(INDEX('Spirits Room'!$F$2:$F$300,MATCH(A114,'Spirits Room'!$A$2:$A$300,0)),0)</f>
        <v>0</v>
      </c>
      <c r="P114" s="9">
        <f>IFERROR(INDEX('White Wine Fridge'!$F$2:$F$300,MATCH(A114,'White Wine Fridge'!$A$2:$A$300,0)),0)</f>
        <v>0</v>
      </c>
      <c r="Q114" s="9">
        <f>IFERROR(INDEX('Lower Keg'!$F$2:$F$300,MATCH(A114,'Lower Keg'!$A$2:$A$300,0)),0)</f>
        <v>0</v>
      </c>
      <c r="R114" s="9">
        <f>IFERROR(INDEX('Botanical Storeroom'!$F$2:$F$300,MATCH(A114,'Botanical Storeroom'!$A$2:$A$300,0)),0)</f>
        <v>0</v>
      </c>
      <c r="S114" s="9">
        <f>IFERROR(INDEX('Botanical Bar'!$F$2:$F$300,MATCH(A114,'Botanical Bar'!$A$2:$A$300,0)),0)</f>
        <v>0</v>
      </c>
      <c r="T114" s="9">
        <f>IFERROR(INDEX('Loading Dock Fridge'!$F$2:$F$300,MATCH(A114,'Loading Dock Fridge'!$A$2:$A$300,0)),0)</f>
        <v>0</v>
      </c>
      <c r="U114" s="9">
        <f>IFERROR(INDEX('Postmix Loading Dock'!$F$2:$F$300,MATCH(A114,'Postmix Loading Dock'!$A$2:$A$300,0)),0)</f>
        <v>0</v>
      </c>
      <c r="V114" s="9">
        <f>IFERROR(INDEX('Postmix Lower Keg'!$F$2:$F$300,MATCH(A114,'Postmix Lower Keg'!$A$2:$A$300,0)),0)</f>
        <v>0</v>
      </c>
      <c r="W114" s="10">
        <f>IFERROR(INDEX('Postmix TWR'!$F$2:$F$300,MATCH(A114,'Postmix TWR'!$A$2:$A$300,0)),0)</f>
        <v>0</v>
      </c>
    </row>
    <row r="115" spans="1:23" x14ac:dyDescent="0.35">
      <c r="A115" s="8">
        <v>33975</v>
      </c>
      <c r="B115" s="9" t="s">
        <v>158</v>
      </c>
      <c r="C115" s="9" t="s">
        <v>156</v>
      </c>
      <c r="D115" s="9" t="s">
        <v>164</v>
      </c>
      <c r="E115" s="17">
        <v>6</v>
      </c>
      <c r="F115" s="23">
        <f t="shared" si="3"/>
        <v>0</v>
      </c>
      <c r="G115" s="9">
        <f>IFERROR(INDEX('Juice Fridge'!$F$2:$F$300,MATCH(A115,'Juice Fridge'!$A$2:$A$300,0)),0)</f>
        <v>0</v>
      </c>
      <c r="H115" s="9">
        <f>IFERROR(INDEX('Upper Keg'!$F$2:$F$300,MATCH(A115,'Upper Keg'!$A$2:$A$300,0)),0)</f>
        <v>0</v>
      </c>
      <c r="I115" s="9">
        <f>IFERROR(INDEX('Astral Bar'!$F$2:$F$300,MATCH(A115,'Astral Bar'!$A$2:$A$300,0)),0)</f>
        <v>0</v>
      </c>
      <c r="J115" s="9">
        <f>IFERROR(INDEX('GB1 Bar'!$F$2:$F$300,MATCH(A115,'GB1 Bar'!$A$2:$A$300,0)),0)</f>
        <v>0</v>
      </c>
      <c r="K115" s="9">
        <f>IFERROR(INDEX('GB2 Bar'!$F$2:$F$300,MATCH(A115,'GB2 Bar'!$A$2:$A$300,0)),0)</f>
        <v>0</v>
      </c>
      <c r="L115" s="9">
        <f>IFERROR(INDEX('CB1 Bar'!$F$2:$F$300,MATCH(A115,'CB1 Bar'!$A$2:$A$300,0)),0)</f>
        <v>0</v>
      </c>
      <c r="M115" s="9">
        <f>IFERROR(INDEX('CB2 Bar'!$F$2:$F$300,MATCH(A115,'CB2 Bar'!$A$2:$A$300,0)),0)</f>
        <v>0</v>
      </c>
      <c r="N115" s="9">
        <f>IFERROR(INDEX('CB3 Bar'!$F$2:$F$300,MATCH(A115,'CB3 Bar'!$A$2:$A$300,0)),0)</f>
        <v>0</v>
      </c>
      <c r="O115" s="9">
        <f>IFERROR(INDEX('Spirits Room'!$F$2:$F$300,MATCH(A115,'Spirits Room'!$A$2:$A$300,0)),0)</f>
        <v>0</v>
      </c>
      <c r="P115" s="9">
        <f>IFERROR(INDEX('White Wine Fridge'!$F$2:$F$300,MATCH(A115,'White Wine Fridge'!$A$2:$A$300,0)),0)</f>
        <v>0</v>
      </c>
      <c r="Q115" s="9">
        <f>IFERROR(INDEX('Lower Keg'!$F$2:$F$300,MATCH(A115,'Lower Keg'!$A$2:$A$300,0)),0)</f>
        <v>0</v>
      </c>
      <c r="R115" s="9">
        <f>IFERROR(INDEX('Botanical Storeroom'!$F$2:$F$300,MATCH(A115,'Botanical Storeroom'!$A$2:$A$300,0)),0)</f>
        <v>0</v>
      </c>
      <c r="S115" s="9">
        <f>IFERROR(INDEX('Botanical Bar'!$F$2:$F$300,MATCH(A115,'Botanical Bar'!$A$2:$A$300,0)),0)</f>
        <v>0</v>
      </c>
      <c r="T115" s="9">
        <f>IFERROR(INDEX('Loading Dock Fridge'!$F$2:$F$300,MATCH(A115,'Loading Dock Fridge'!$A$2:$A$300,0)),0)</f>
        <v>0</v>
      </c>
      <c r="U115" s="9">
        <f>IFERROR(INDEX('Postmix Loading Dock'!$F$2:$F$300,MATCH(A115,'Postmix Loading Dock'!$A$2:$A$300,0)),0)</f>
        <v>0</v>
      </c>
      <c r="V115" s="9">
        <f>IFERROR(INDEX('Postmix Lower Keg'!$F$2:$F$300,MATCH(A115,'Postmix Lower Keg'!$A$2:$A$300,0)),0)</f>
        <v>0</v>
      </c>
      <c r="W115" s="10">
        <f>IFERROR(INDEX('Postmix TWR'!$F$2:$F$300,MATCH(A115,'Postmix TWR'!$A$2:$A$300,0)),0)</f>
        <v>0</v>
      </c>
    </row>
    <row r="116" spans="1:23" x14ac:dyDescent="0.35">
      <c r="A116" s="8">
        <v>42446</v>
      </c>
      <c r="B116" s="9" t="s">
        <v>158</v>
      </c>
      <c r="C116" s="9" t="s">
        <v>156</v>
      </c>
      <c r="D116" s="9" t="s">
        <v>165</v>
      </c>
      <c r="E116" s="17">
        <v>6</v>
      </c>
      <c r="F116" s="23">
        <f t="shared" si="3"/>
        <v>0</v>
      </c>
      <c r="G116" s="9">
        <f>IFERROR(INDEX('Juice Fridge'!$F$2:$F$300,MATCH(A116,'Juice Fridge'!$A$2:$A$300,0)),0)</f>
        <v>0</v>
      </c>
      <c r="H116" s="9">
        <f>IFERROR(INDEX('Upper Keg'!$F$2:$F$300,MATCH(A116,'Upper Keg'!$A$2:$A$300,0)),0)</f>
        <v>0</v>
      </c>
      <c r="I116" s="9">
        <f>IFERROR(INDEX('Astral Bar'!$F$2:$F$300,MATCH(A116,'Astral Bar'!$A$2:$A$300,0)),0)</f>
        <v>0</v>
      </c>
      <c r="J116" s="9">
        <f>IFERROR(INDEX('GB1 Bar'!$F$2:$F$300,MATCH(A116,'GB1 Bar'!$A$2:$A$300,0)),0)</f>
        <v>0</v>
      </c>
      <c r="K116" s="9">
        <f>IFERROR(INDEX('GB2 Bar'!$F$2:$F$300,MATCH(A116,'GB2 Bar'!$A$2:$A$300,0)),0)</f>
        <v>0</v>
      </c>
      <c r="L116" s="9">
        <f>IFERROR(INDEX('CB1 Bar'!$F$2:$F$300,MATCH(A116,'CB1 Bar'!$A$2:$A$300,0)),0)</f>
        <v>0</v>
      </c>
      <c r="M116" s="9">
        <f>IFERROR(INDEX('CB2 Bar'!$F$2:$F$300,MATCH(A116,'CB2 Bar'!$A$2:$A$300,0)),0)</f>
        <v>0</v>
      </c>
      <c r="N116" s="9">
        <f>IFERROR(INDEX('CB3 Bar'!$F$2:$F$300,MATCH(A116,'CB3 Bar'!$A$2:$A$300,0)),0)</f>
        <v>0</v>
      </c>
      <c r="O116" s="9">
        <f>IFERROR(INDEX('Spirits Room'!$F$2:$F$300,MATCH(A116,'Spirits Room'!$A$2:$A$300,0)),0)</f>
        <v>0</v>
      </c>
      <c r="P116" s="9">
        <f>IFERROR(INDEX('White Wine Fridge'!$F$2:$F$300,MATCH(A116,'White Wine Fridge'!$A$2:$A$300,0)),0)</f>
        <v>0</v>
      </c>
      <c r="Q116" s="9">
        <f>IFERROR(INDEX('Lower Keg'!$F$2:$F$300,MATCH(A116,'Lower Keg'!$A$2:$A$300,0)),0)</f>
        <v>0</v>
      </c>
      <c r="R116" s="9">
        <f>IFERROR(INDEX('Botanical Storeroom'!$F$2:$F$300,MATCH(A116,'Botanical Storeroom'!$A$2:$A$300,0)),0)</f>
        <v>0</v>
      </c>
      <c r="S116" s="9">
        <f>IFERROR(INDEX('Botanical Bar'!$F$2:$F$300,MATCH(A116,'Botanical Bar'!$A$2:$A$300,0)),0)</f>
        <v>0</v>
      </c>
      <c r="T116" s="9">
        <f>IFERROR(INDEX('Loading Dock Fridge'!$F$2:$F$300,MATCH(A116,'Loading Dock Fridge'!$A$2:$A$300,0)),0)</f>
        <v>0</v>
      </c>
      <c r="U116" s="9">
        <f>IFERROR(INDEX('Postmix Loading Dock'!$F$2:$F$300,MATCH(A116,'Postmix Loading Dock'!$A$2:$A$300,0)),0)</f>
        <v>0</v>
      </c>
      <c r="V116" s="9">
        <f>IFERROR(INDEX('Postmix Lower Keg'!$F$2:$F$300,MATCH(A116,'Postmix Lower Keg'!$A$2:$A$300,0)),0)</f>
        <v>0</v>
      </c>
      <c r="W116" s="10">
        <f>IFERROR(INDEX('Postmix TWR'!$F$2:$F$300,MATCH(A116,'Postmix TWR'!$A$2:$A$300,0)),0)</f>
        <v>0</v>
      </c>
    </row>
    <row r="117" spans="1:23" x14ac:dyDescent="0.35">
      <c r="A117" s="8">
        <v>9</v>
      </c>
      <c r="B117" s="9" t="s">
        <v>166</v>
      </c>
      <c r="C117" s="9" t="s">
        <v>156</v>
      </c>
      <c r="D117" s="9" t="s">
        <v>167</v>
      </c>
      <c r="E117" s="17">
        <v>6</v>
      </c>
      <c r="F117" s="23">
        <f t="shared" si="3"/>
        <v>0</v>
      </c>
      <c r="G117" s="9">
        <f>IFERROR(INDEX('Juice Fridge'!$F$2:$F$300,MATCH(A117,'Juice Fridge'!$A$2:$A$300,0)),0)</f>
        <v>0</v>
      </c>
      <c r="H117" s="9">
        <f>IFERROR(INDEX('Upper Keg'!$F$2:$F$300,MATCH(A117,'Upper Keg'!$A$2:$A$300,0)),0)</f>
        <v>0</v>
      </c>
      <c r="I117" s="9">
        <f>IFERROR(INDEX('Astral Bar'!$F$2:$F$300,MATCH(A117,'Astral Bar'!$A$2:$A$300,0)),0)</f>
        <v>0</v>
      </c>
      <c r="J117" s="9">
        <f>IFERROR(INDEX('GB1 Bar'!$F$2:$F$300,MATCH(A117,'GB1 Bar'!$A$2:$A$300,0)),0)</f>
        <v>0</v>
      </c>
      <c r="K117" s="9">
        <f>IFERROR(INDEX('GB2 Bar'!$F$2:$F$300,MATCH(A117,'GB2 Bar'!$A$2:$A$300,0)),0)</f>
        <v>0</v>
      </c>
      <c r="L117" s="9">
        <f>IFERROR(INDEX('CB1 Bar'!$F$2:$F$300,MATCH(A117,'CB1 Bar'!$A$2:$A$300,0)),0)</f>
        <v>0</v>
      </c>
      <c r="M117" s="9">
        <f>IFERROR(INDEX('CB2 Bar'!$F$2:$F$300,MATCH(A117,'CB2 Bar'!$A$2:$A$300,0)),0)</f>
        <v>0</v>
      </c>
      <c r="N117" s="9">
        <f>IFERROR(INDEX('CB3 Bar'!$F$2:$F$300,MATCH(A117,'CB3 Bar'!$A$2:$A$300,0)),0)</f>
        <v>0</v>
      </c>
      <c r="O117" s="9">
        <f>IFERROR(INDEX('Spirits Room'!$F$2:$F$300,MATCH(A117,'Spirits Room'!$A$2:$A$300,0)),0)</f>
        <v>0</v>
      </c>
      <c r="P117" s="9">
        <f>IFERROR(INDEX('White Wine Fridge'!$F$2:$F$300,MATCH(A117,'White Wine Fridge'!$A$2:$A$300,0)),0)</f>
        <v>0</v>
      </c>
      <c r="Q117" s="9">
        <f>IFERROR(INDEX('Lower Keg'!$F$2:$F$300,MATCH(A117,'Lower Keg'!$A$2:$A$300,0)),0)</f>
        <v>0</v>
      </c>
      <c r="R117" s="9">
        <f>IFERROR(INDEX('Botanical Storeroom'!$F$2:$F$300,MATCH(A117,'Botanical Storeroom'!$A$2:$A$300,0)),0)</f>
        <v>0</v>
      </c>
      <c r="S117" s="9">
        <f>IFERROR(INDEX('Botanical Bar'!$F$2:$F$300,MATCH(A117,'Botanical Bar'!$A$2:$A$300,0)),0)</f>
        <v>0</v>
      </c>
      <c r="T117" s="9">
        <f>IFERROR(INDEX('Loading Dock Fridge'!$F$2:$F$300,MATCH(A117,'Loading Dock Fridge'!$A$2:$A$300,0)),0)</f>
        <v>0</v>
      </c>
      <c r="U117" s="9">
        <f>IFERROR(INDEX('Postmix Loading Dock'!$F$2:$F$300,MATCH(A117,'Postmix Loading Dock'!$A$2:$A$300,0)),0)</f>
        <v>0</v>
      </c>
      <c r="V117" s="9">
        <f>IFERROR(INDEX('Postmix Lower Keg'!$F$2:$F$300,MATCH(A117,'Postmix Lower Keg'!$A$2:$A$300,0)),0)</f>
        <v>0</v>
      </c>
      <c r="W117" s="10">
        <f>IFERROR(INDEX('Postmix TWR'!$F$2:$F$300,MATCH(A117,'Postmix TWR'!$A$2:$A$300,0)),0)</f>
        <v>0</v>
      </c>
    </row>
    <row r="118" spans="1:23" x14ac:dyDescent="0.35">
      <c r="A118" s="8">
        <v>436</v>
      </c>
      <c r="B118" s="9" t="s">
        <v>166</v>
      </c>
      <c r="C118" s="9" t="s">
        <v>156</v>
      </c>
      <c r="D118" s="9" t="s">
        <v>168</v>
      </c>
      <c r="E118" s="17">
        <v>6</v>
      </c>
      <c r="F118" s="23">
        <f t="shared" si="3"/>
        <v>0</v>
      </c>
      <c r="G118" s="9">
        <f>IFERROR(INDEX('Juice Fridge'!$F$2:$F$300,MATCH(A118,'Juice Fridge'!$A$2:$A$300,0)),0)</f>
        <v>0</v>
      </c>
      <c r="H118" s="9">
        <f>IFERROR(INDEX('Upper Keg'!$F$2:$F$300,MATCH(A118,'Upper Keg'!$A$2:$A$300,0)),0)</f>
        <v>0</v>
      </c>
      <c r="I118" s="9">
        <f>IFERROR(INDEX('Astral Bar'!$F$2:$F$300,MATCH(A118,'Astral Bar'!$A$2:$A$300,0)),0)</f>
        <v>0</v>
      </c>
      <c r="J118" s="9">
        <f>IFERROR(INDEX('GB1 Bar'!$F$2:$F$300,MATCH(A118,'GB1 Bar'!$A$2:$A$300,0)),0)</f>
        <v>0</v>
      </c>
      <c r="K118" s="9">
        <f>IFERROR(INDEX('GB2 Bar'!$F$2:$F$300,MATCH(A118,'GB2 Bar'!$A$2:$A$300,0)),0)</f>
        <v>0</v>
      </c>
      <c r="L118" s="9">
        <f>IFERROR(INDEX('CB1 Bar'!$F$2:$F$300,MATCH(A118,'CB1 Bar'!$A$2:$A$300,0)),0)</f>
        <v>0</v>
      </c>
      <c r="M118" s="9">
        <f>IFERROR(INDEX('CB2 Bar'!$F$2:$F$300,MATCH(A118,'CB2 Bar'!$A$2:$A$300,0)),0)</f>
        <v>0</v>
      </c>
      <c r="N118" s="9">
        <f>IFERROR(INDEX('CB3 Bar'!$F$2:$F$300,MATCH(A118,'CB3 Bar'!$A$2:$A$300,0)),0)</f>
        <v>0</v>
      </c>
      <c r="O118" s="9">
        <f>IFERROR(INDEX('Spirits Room'!$F$2:$F$300,MATCH(A118,'Spirits Room'!$A$2:$A$300,0)),0)</f>
        <v>0</v>
      </c>
      <c r="P118" s="9">
        <f>IFERROR(INDEX('White Wine Fridge'!$F$2:$F$300,MATCH(A118,'White Wine Fridge'!$A$2:$A$300,0)),0)</f>
        <v>0</v>
      </c>
      <c r="Q118" s="9">
        <f>IFERROR(INDEX('Lower Keg'!$F$2:$F$300,MATCH(A118,'Lower Keg'!$A$2:$A$300,0)),0)</f>
        <v>0</v>
      </c>
      <c r="R118" s="9">
        <f>IFERROR(INDEX('Botanical Storeroom'!$F$2:$F$300,MATCH(A118,'Botanical Storeroom'!$A$2:$A$300,0)),0)</f>
        <v>0</v>
      </c>
      <c r="S118" s="9">
        <f>IFERROR(INDEX('Botanical Bar'!$F$2:$F$300,MATCH(A118,'Botanical Bar'!$A$2:$A$300,0)),0)</f>
        <v>0</v>
      </c>
      <c r="T118" s="9">
        <f>IFERROR(INDEX('Loading Dock Fridge'!$F$2:$F$300,MATCH(A118,'Loading Dock Fridge'!$A$2:$A$300,0)),0)</f>
        <v>0</v>
      </c>
      <c r="U118" s="9">
        <f>IFERROR(INDEX('Postmix Loading Dock'!$F$2:$F$300,MATCH(A118,'Postmix Loading Dock'!$A$2:$A$300,0)),0)</f>
        <v>0</v>
      </c>
      <c r="V118" s="9">
        <f>IFERROR(INDEX('Postmix Lower Keg'!$F$2:$F$300,MATCH(A118,'Postmix Lower Keg'!$A$2:$A$300,0)),0)</f>
        <v>0</v>
      </c>
      <c r="W118" s="10">
        <f>IFERROR(INDEX('Postmix TWR'!$F$2:$F$300,MATCH(A118,'Postmix TWR'!$A$2:$A$300,0)),0)</f>
        <v>0</v>
      </c>
    </row>
    <row r="119" spans="1:23" x14ac:dyDescent="0.35">
      <c r="A119" s="8">
        <v>53</v>
      </c>
      <c r="B119" s="9" t="s">
        <v>166</v>
      </c>
      <c r="C119" s="9" t="s">
        <v>156</v>
      </c>
      <c r="D119" s="9" t="s">
        <v>169</v>
      </c>
      <c r="E119" s="17">
        <v>6</v>
      </c>
      <c r="F119" s="23">
        <f t="shared" si="3"/>
        <v>0</v>
      </c>
      <c r="G119" s="9">
        <f>IFERROR(INDEX('Juice Fridge'!$F$2:$F$300,MATCH(A119,'Juice Fridge'!$A$2:$A$300,0)),0)</f>
        <v>0</v>
      </c>
      <c r="H119" s="9">
        <f>IFERROR(INDEX('Upper Keg'!$F$2:$F$300,MATCH(A119,'Upper Keg'!$A$2:$A$300,0)),0)</f>
        <v>0</v>
      </c>
      <c r="I119" s="9">
        <f>IFERROR(INDEX('Astral Bar'!$F$2:$F$300,MATCH(A119,'Astral Bar'!$A$2:$A$300,0)),0)</f>
        <v>0</v>
      </c>
      <c r="J119" s="9">
        <f>IFERROR(INDEX('GB1 Bar'!$F$2:$F$300,MATCH(A119,'GB1 Bar'!$A$2:$A$300,0)),0)</f>
        <v>0</v>
      </c>
      <c r="K119" s="9">
        <f>IFERROR(INDEX('GB2 Bar'!$F$2:$F$300,MATCH(A119,'GB2 Bar'!$A$2:$A$300,0)),0)</f>
        <v>0</v>
      </c>
      <c r="L119" s="9">
        <f>IFERROR(INDEX('CB1 Bar'!$F$2:$F$300,MATCH(A119,'CB1 Bar'!$A$2:$A$300,0)),0)</f>
        <v>0</v>
      </c>
      <c r="M119" s="9">
        <f>IFERROR(INDEX('CB2 Bar'!$F$2:$F$300,MATCH(A119,'CB2 Bar'!$A$2:$A$300,0)),0)</f>
        <v>0</v>
      </c>
      <c r="N119" s="9">
        <f>IFERROR(INDEX('CB3 Bar'!$F$2:$F$300,MATCH(A119,'CB3 Bar'!$A$2:$A$300,0)),0)</f>
        <v>0</v>
      </c>
      <c r="O119" s="9">
        <f>IFERROR(INDEX('Spirits Room'!$F$2:$F$300,MATCH(A119,'Spirits Room'!$A$2:$A$300,0)),0)</f>
        <v>0</v>
      </c>
      <c r="P119" s="9">
        <f>IFERROR(INDEX('White Wine Fridge'!$F$2:$F$300,MATCH(A119,'White Wine Fridge'!$A$2:$A$300,0)),0)</f>
        <v>0</v>
      </c>
      <c r="Q119" s="9">
        <f>IFERROR(INDEX('Lower Keg'!$F$2:$F$300,MATCH(A119,'Lower Keg'!$A$2:$A$300,0)),0)</f>
        <v>0</v>
      </c>
      <c r="R119" s="9">
        <f>IFERROR(INDEX('Botanical Storeroom'!$F$2:$F$300,MATCH(A119,'Botanical Storeroom'!$A$2:$A$300,0)),0)</f>
        <v>0</v>
      </c>
      <c r="S119" s="9">
        <f>IFERROR(INDEX('Botanical Bar'!$F$2:$F$300,MATCH(A119,'Botanical Bar'!$A$2:$A$300,0)),0)</f>
        <v>0</v>
      </c>
      <c r="T119" s="9">
        <f>IFERROR(INDEX('Loading Dock Fridge'!$F$2:$F$300,MATCH(A119,'Loading Dock Fridge'!$A$2:$A$300,0)),0)</f>
        <v>0</v>
      </c>
      <c r="U119" s="9">
        <f>IFERROR(INDEX('Postmix Loading Dock'!$F$2:$F$300,MATCH(A119,'Postmix Loading Dock'!$A$2:$A$300,0)),0)</f>
        <v>0</v>
      </c>
      <c r="V119" s="9">
        <f>IFERROR(INDEX('Postmix Lower Keg'!$F$2:$F$300,MATCH(A119,'Postmix Lower Keg'!$A$2:$A$300,0)),0)</f>
        <v>0</v>
      </c>
      <c r="W119" s="10">
        <f>IFERROR(INDEX('Postmix TWR'!$F$2:$F$300,MATCH(A119,'Postmix TWR'!$A$2:$A$300,0)),0)</f>
        <v>0</v>
      </c>
    </row>
    <row r="120" spans="1:23" x14ac:dyDescent="0.35">
      <c r="A120" s="8">
        <v>474</v>
      </c>
      <c r="B120" s="9" t="s">
        <v>166</v>
      </c>
      <c r="C120" s="9" t="s">
        <v>156</v>
      </c>
      <c r="D120" s="9" t="s">
        <v>170</v>
      </c>
      <c r="E120" s="17">
        <v>6</v>
      </c>
      <c r="F120" s="23">
        <f t="shared" si="3"/>
        <v>0</v>
      </c>
      <c r="G120" s="9">
        <f>IFERROR(INDEX('Juice Fridge'!$F$2:$F$300,MATCH(A120,'Juice Fridge'!$A$2:$A$300,0)),0)</f>
        <v>0</v>
      </c>
      <c r="H120" s="9">
        <f>IFERROR(INDEX('Upper Keg'!$F$2:$F$300,MATCH(A120,'Upper Keg'!$A$2:$A$300,0)),0)</f>
        <v>0</v>
      </c>
      <c r="I120" s="9">
        <f>IFERROR(INDEX('Astral Bar'!$F$2:$F$300,MATCH(A120,'Astral Bar'!$A$2:$A$300,0)),0)</f>
        <v>0</v>
      </c>
      <c r="J120" s="9">
        <f>IFERROR(INDEX('GB1 Bar'!$F$2:$F$300,MATCH(A120,'GB1 Bar'!$A$2:$A$300,0)),0)</f>
        <v>0</v>
      </c>
      <c r="K120" s="9">
        <f>IFERROR(INDEX('GB2 Bar'!$F$2:$F$300,MATCH(A120,'GB2 Bar'!$A$2:$A$300,0)),0)</f>
        <v>0</v>
      </c>
      <c r="L120" s="9">
        <f>IFERROR(INDEX('CB1 Bar'!$F$2:$F$300,MATCH(A120,'CB1 Bar'!$A$2:$A$300,0)),0)</f>
        <v>0</v>
      </c>
      <c r="M120" s="9">
        <f>IFERROR(INDEX('CB2 Bar'!$F$2:$F$300,MATCH(A120,'CB2 Bar'!$A$2:$A$300,0)),0)</f>
        <v>0</v>
      </c>
      <c r="N120" s="9">
        <f>IFERROR(INDEX('CB3 Bar'!$F$2:$F$300,MATCH(A120,'CB3 Bar'!$A$2:$A$300,0)),0)</f>
        <v>0</v>
      </c>
      <c r="O120" s="9">
        <f>IFERROR(INDEX('Spirits Room'!$F$2:$F$300,MATCH(A120,'Spirits Room'!$A$2:$A$300,0)),0)</f>
        <v>0</v>
      </c>
      <c r="P120" s="9">
        <f>IFERROR(INDEX('White Wine Fridge'!$F$2:$F$300,MATCH(A120,'White Wine Fridge'!$A$2:$A$300,0)),0)</f>
        <v>0</v>
      </c>
      <c r="Q120" s="9">
        <f>IFERROR(INDEX('Lower Keg'!$F$2:$F$300,MATCH(A120,'Lower Keg'!$A$2:$A$300,0)),0)</f>
        <v>0</v>
      </c>
      <c r="R120" s="9">
        <f>IFERROR(INDEX('Botanical Storeroom'!$F$2:$F$300,MATCH(A120,'Botanical Storeroom'!$A$2:$A$300,0)),0)</f>
        <v>0</v>
      </c>
      <c r="S120" s="9">
        <f>IFERROR(INDEX('Botanical Bar'!$F$2:$F$300,MATCH(A120,'Botanical Bar'!$A$2:$A$300,0)),0)</f>
        <v>0</v>
      </c>
      <c r="T120" s="9">
        <f>IFERROR(INDEX('Loading Dock Fridge'!$F$2:$F$300,MATCH(A120,'Loading Dock Fridge'!$A$2:$A$300,0)),0)</f>
        <v>0</v>
      </c>
      <c r="U120" s="9">
        <f>IFERROR(INDEX('Postmix Loading Dock'!$F$2:$F$300,MATCH(A120,'Postmix Loading Dock'!$A$2:$A$300,0)),0)</f>
        <v>0</v>
      </c>
      <c r="V120" s="9">
        <f>IFERROR(INDEX('Postmix Lower Keg'!$F$2:$F$300,MATCH(A120,'Postmix Lower Keg'!$A$2:$A$300,0)),0)</f>
        <v>0</v>
      </c>
      <c r="W120" s="10">
        <f>IFERROR(INDEX('Postmix TWR'!$F$2:$F$300,MATCH(A120,'Postmix TWR'!$A$2:$A$300,0)),0)</f>
        <v>0</v>
      </c>
    </row>
    <row r="121" spans="1:23" x14ac:dyDescent="0.35">
      <c r="A121" s="8">
        <v>37124</v>
      </c>
      <c r="B121" s="9" t="s">
        <v>171</v>
      </c>
      <c r="C121" s="9" t="s">
        <v>156</v>
      </c>
      <c r="D121" s="9" t="s">
        <v>172</v>
      </c>
      <c r="E121" s="17">
        <v>6</v>
      </c>
      <c r="F121" s="23">
        <f t="shared" si="3"/>
        <v>0</v>
      </c>
      <c r="G121" s="9">
        <f>IFERROR(INDEX('Juice Fridge'!$F$2:$F$300,MATCH(A121,'Juice Fridge'!$A$2:$A$300,0)),0)</f>
        <v>0</v>
      </c>
      <c r="H121" s="9">
        <f>IFERROR(INDEX('Upper Keg'!$F$2:$F$300,MATCH(A121,'Upper Keg'!$A$2:$A$300,0)),0)</f>
        <v>0</v>
      </c>
      <c r="I121" s="9">
        <f>IFERROR(INDEX('Astral Bar'!$F$2:$F$300,MATCH(A121,'Astral Bar'!$A$2:$A$300,0)),0)</f>
        <v>0</v>
      </c>
      <c r="J121" s="9">
        <f>IFERROR(INDEX('GB1 Bar'!$F$2:$F$300,MATCH(A121,'GB1 Bar'!$A$2:$A$300,0)),0)</f>
        <v>0</v>
      </c>
      <c r="K121" s="9">
        <f>IFERROR(INDEX('GB2 Bar'!$F$2:$F$300,MATCH(A121,'GB2 Bar'!$A$2:$A$300,0)),0)</f>
        <v>0</v>
      </c>
      <c r="L121" s="9">
        <f>IFERROR(INDEX('CB1 Bar'!$F$2:$F$300,MATCH(A121,'CB1 Bar'!$A$2:$A$300,0)),0)</f>
        <v>0</v>
      </c>
      <c r="M121" s="9">
        <f>IFERROR(INDEX('CB2 Bar'!$F$2:$F$300,MATCH(A121,'CB2 Bar'!$A$2:$A$300,0)),0)</f>
        <v>0</v>
      </c>
      <c r="N121" s="9">
        <f>IFERROR(INDEX('CB3 Bar'!$F$2:$F$300,MATCH(A121,'CB3 Bar'!$A$2:$A$300,0)),0)</f>
        <v>0</v>
      </c>
      <c r="O121" s="9">
        <f>IFERROR(INDEX('Spirits Room'!$F$2:$F$300,MATCH(A121,'Spirits Room'!$A$2:$A$300,0)),0)</f>
        <v>0</v>
      </c>
      <c r="P121" s="9">
        <f>IFERROR(INDEX('White Wine Fridge'!$F$2:$F$300,MATCH(A121,'White Wine Fridge'!$A$2:$A$300,0)),0)</f>
        <v>0</v>
      </c>
      <c r="Q121" s="9">
        <f>IFERROR(INDEX('Lower Keg'!$F$2:$F$300,MATCH(A121,'Lower Keg'!$A$2:$A$300,0)),0)</f>
        <v>0</v>
      </c>
      <c r="R121" s="9">
        <f>IFERROR(INDEX('Botanical Storeroom'!$F$2:$F$300,MATCH(A121,'Botanical Storeroom'!$A$2:$A$300,0)),0)</f>
        <v>0</v>
      </c>
      <c r="S121" s="9">
        <f>IFERROR(INDEX('Botanical Bar'!$F$2:$F$300,MATCH(A121,'Botanical Bar'!$A$2:$A$300,0)),0)</f>
        <v>0</v>
      </c>
      <c r="T121" s="9">
        <f>IFERROR(INDEX('Loading Dock Fridge'!$F$2:$F$300,MATCH(A121,'Loading Dock Fridge'!$A$2:$A$300,0)),0)</f>
        <v>0</v>
      </c>
      <c r="U121" s="9">
        <f>IFERROR(INDEX('Postmix Loading Dock'!$F$2:$F$300,MATCH(A121,'Postmix Loading Dock'!$A$2:$A$300,0)),0)</f>
        <v>0</v>
      </c>
      <c r="V121" s="9">
        <f>IFERROR(INDEX('Postmix Lower Keg'!$F$2:$F$300,MATCH(A121,'Postmix Lower Keg'!$A$2:$A$300,0)),0)</f>
        <v>0</v>
      </c>
      <c r="W121" s="10">
        <f>IFERROR(INDEX('Postmix TWR'!$F$2:$F$300,MATCH(A121,'Postmix TWR'!$A$2:$A$300,0)),0)</f>
        <v>0</v>
      </c>
    </row>
    <row r="122" spans="1:23" x14ac:dyDescent="0.35">
      <c r="A122" s="8">
        <v>13247</v>
      </c>
      <c r="B122" s="9" t="s">
        <v>171</v>
      </c>
      <c r="C122" s="9" t="s">
        <v>156</v>
      </c>
      <c r="D122" s="9" t="s">
        <v>173</v>
      </c>
      <c r="E122" s="17">
        <v>6</v>
      </c>
      <c r="F122" s="23">
        <f t="shared" si="3"/>
        <v>0</v>
      </c>
      <c r="G122" s="9">
        <f>IFERROR(INDEX('Juice Fridge'!$F$2:$F$300,MATCH(A122,'Juice Fridge'!$A$2:$A$300,0)),0)</f>
        <v>0</v>
      </c>
      <c r="H122" s="9">
        <f>IFERROR(INDEX('Upper Keg'!$F$2:$F$300,MATCH(A122,'Upper Keg'!$A$2:$A$300,0)),0)</f>
        <v>0</v>
      </c>
      <c r="I122" s="9">
        <f>IFERROR(INDEX('Astral Bar'!$F$2:$F$300,MATCH(A122,'Astral Bar'!$A$2:$A$300,0)),0)</f>
        <v>0</v>
      </c>
      <c r="J122" s="9">
        <f>IFERROR(INDEX('GB1 Bar'!$F$2:$F$300,MATCH(A122,'GB1 Bar'!$A$2:$A$300,0)),0)</f>
        <v>0</v>
      </c>
      <c r="K122" s="9">
        <f>IFERROR(INDEX('GB2 Bar'!$F$2:$F$300,MATCH(A122,'GB2 Bar'!$A$2:$A$300,0)),0)</f>
        <v>0</v>
      </c>
      <c r="L122" s="9">
        <f>IFERROR(INDEX('CB1 Bar'!$F$2:$F$300,MATCH(A122,'CB1 Bar'!$A$2:$A$300,0)),0)</f>
        <v>0</v>
      </c>
      <c r="M122" s="9">
        <f>IFERROR(INDEX('CB2 Bar'!$F$2:$F$300,MATCH(A122,'CB2 Bar'!$A$2:$A$300,0)),0)</f>
        <v>0</v>
      </c>
      <c r="N122" s="9">
        <f>IFERROR(INDEX('CB3 Bar'!$F$2:$F$300,MATCH(A122,'CB3 Bar'!$A$2:$A$300,0)),0)</f>
        <v>0</v>
      </c>
      <c r="O122" s="9">
        <f>IFERROR(INDEX('Spirits Room'!$F$2:$F$300,MATCH(A122,'Spirits Room'!$A$2:$A$300,0)),0)</f>
        <v>0</v>
      </c>
      <c r="P122" s="9">
        <f>IFERROR(INDEX('White Wine Fridge'!$F$2:$F$300,MATCH(A122,'White Wine Fridge'!$A$2:$A$300,0)),0)</f>
        <v>0</v>
      </c>
      <c r="Q122" s="9">
        <f>IFERROR(INDEX('Lower Keg'!$F$2:$F$300,MATCH(A122,'Lower Keg'!$A$2:$A$300,0)),0)</f>
        <v>0</v>
      </c>
      <c r="R122" s="9">
        <f>IFERROR(INDEX('Botanical Storeroom'!$F$2:$F$300,MATCH(A122,'Botanical Storeroom'!$A$2:$A$300,0)),0)</f>
        <v>0</v>
      </c>
      <c r="S122" s="9">
        <f>IFERROR(INDEX('Botanical Bar'!$F$2:$F$300,MATCH(A122,'Botanical Bar'!$A$2:$A$300,0)),0)</f>
        <v>0</v>
      </c>
      <c r="T122" s="9">
        <f>IFERROR(INDEX('Loading Dock Fridge'!$F$2:$F$300,MATCH(A122,'Loading Dock Fridge'!$A$2:$A$300,0)),0)</f>
        <v>0</v>
      </c>
      <c r="U122" s="9">
        <f>IFERROR(INDEX('Postmix Loading Dock'!$F$2:$F$300,MATCH(A122,'Postmix Loading Dock'!$A$2:$A$300,0)),0)</f>
        <v>0</v>
      </c>
      <c r="V122" s="9">
        <f>IFERROR(INDEX('Postmix Lower Keg'!$F$2:$F$300,MATCH(A122,'Postmix Lower Keg'!$A$2:$A$300,0)),0)</f>
        <v>0</v>
      </c>
      <c r="W122" s="10">
        <f>IFERROR(INDEX('Postmix TWR'!$F$2:$F$300,MATCH(A122,'Postmix TWR'!$A$2:$A$300,0)),0)</f>
        <v>0</v>
      </c>
    </row>
    <row r="123" spans="1:23" x14ac:dyDescent="0.35">
      <c r="A123" s="8">
        <v>34680</v>
      </c>
      <c r="B123" s="9" t="s">
        <v>171</v>
      </c>
      <c r="C123" s="9" t="s">
        <v>156</v>
      </c>
      <c r="D123" s="9" t="s">
        <v>174</v>
      </c>
      <c r="E123" s="17">
        <v>6</v>
      </c>
      <c r="F123" s="23">
        <f t="shared" si="3"/>
        <v>0</v>
      </c>
      <c r="G123" s="9">
        <f>IFERROR(INDEX('Juice Fridge'!$F$2:$F$300,MATCH(A123,'Juice Fridge'!$A$2:$A$300,0)),0)</f>
        <v>0</v>
      </c>
      <c r="H123" s="9">
        <f>IFERROR(INDEX('Upper Keg'!$F$2:$F$300,MATCH(A123,'Upper Keg'!$A$2:$A$300,0)),0)</f>
        <v>0</v>
      </c>
      <c r="I123" s="9">
        <f>IFERROR(INDEX('Astral Bar'!$F$2:$F$300,MATCH(A123,'Astral Bar'!$A$2:$A$300,0)),0)</f>
        <v>0</v>
      </c>
      <c r="J123" s="9">
        <f>IFERROR(INDEX('GB1 Bar'!$F$2:$F$300,MATCH(A123,'GB1 Bar'!$A$2:$A$300,0)),0)</f>
        <v>0</v>
      </c>
      <c r="K123" s="9">
        <f>IFERROR(INDEX('GB2 Bar'!$F$2:$F$300,MATCH(A123,'GB2 Bar'!$A$2:$A$300,0)),0)</f>
        <v>0</v>
      </c>
      <c r="L123" s="9">
        <f>IFERROR(INDEX('CB1 Bar'!$F$2:$F$300,MATCH(A123,'CB1 Bar'!$A$2:$A$300,0)),0)</f>
        <v>0</v>
      </c>
      <c r="M123" s="9">
        <f>IFERROR(INDEX('CB2 Bar'!$F$2:$F$300,MATCH(A123,'CB2 Bar'!$A$2:$A$300,0)),0)</f>
        <v>0</v>
      </c>
      <c r="N123" s="9">
        <f>IFERROR(INDEX('CB3 Bar'!$F$2:$F$300,MATCH(A123,'CB3 Bar'!$A$2:$A$300,0)),0)</f>
        <v>0</v>
      </c>
      <c r="O123" s="9">
        <f>IFERROR(INDEX('Spirits Room'!$F$2:$F$300,MATCH(A123,'Spirits Room'!$A$2:$A$300,0)),0)</f>
        <v>0</v>
      </c>
      <c r="P123" s="9">
        <f>IFERROR(INDEX('White Wine Fridge'!$F$2:$F$300,MATCH(A123,'White Wine Fridge'!$A$2:$A$300,0)),0)</f>
        <v>0</v>
      </c>
      <c r="Q123" s="9">
        <f>IFERROR(INDEX('Lower Keg'!$F$2:$F$300,MATCH(A123,'Lower Keg'!$A$2:$A$300,0)),0)</f>
        <v>0</v>
      </c>
      <c r="R123" s="9">
        <f>IFERROR(INDEX('Botanical Storeroom'!$F$2:$F$300,MATCH(A123,'Botanical Storeroom'!$A$2:$A$300,0)),0)</f>
        <v>0</v>
      </c>
      <c r="S123" s="9">
        <f>IFERROR(INDEX('Botanical Bar'!$F$2:$F$300,MATCH(A123,'Botanical Bar'!$A$2:$A$300,0)),0)</f>
        <v>0</v>
      </c>
      <c r="T123" s="9">
        <f>IFERROR(INDEX('Loading Dock Fridge'!$F$2:$F$300,MATCH(A123,'Loading Dock Fridge'!$A$2:$A$300,0)),0)</f>
        <v>0</v>
      </c>
      <c r="U123" s="9">
        <f>IFERROR(INDEX('Postmix Loading Dock'!$F$2:$F$300,MATCH(A123,'Postmix Loading Dock'!$A$2:$A$300,0)),0)</f>
        <v>0</v>
      </c>
      <c r="V123" s="9">
        <f>IFERROR(INDEX('Postmix Lower Keg'!$F$2:$F$300,MATCH(A123,'Postmix Lower Keg'!$A$2:$A$300,0)),0)</f>
        <v>0</v>
      </c>
      <c r="W123" s="10">
        <f>IFERROR(INDEX('Postmix TWR'!$F$2:$F$300,MATCH(A123,'Postmix TWR'!$A$2:$A$300,0)),0)</f>
        <v>0</v>
      </c>
    </row>
    <row r="124" spans="1:23" x14ac:dyDescent="0.35">
      <c r="A124" s="8">
        <v>53292</v>
      </c>
      <c r="B124" s="9" t="s">
        <v>171</v>
      </c>
      <c r="C124" s="9" t="s">
        <v>156</v>
      </c>
      <c r="D124" s="9" t="s">
        <v>175</v>
      </c>
      <c r="E124" s="17">
        <v>6</v>
      </c>
      <c r="F124" s="23">
        <f t="shared" si="3"/>
        <v>0</v>
      </c>
      <c r="G124" s="9">
        <f>IFERROR(INDEX('Juice Fridge'!$F$2:$F$300,MATCH(A124,'Juice Fridge'!$A$2:$A$300,0)),0)</f>
        <v>0</v>
      </c>
      <c r="H124" s="9">
        <f>IFERROR(INDEX('Upper Keg'!$F$2:$F$300,MATCH(A124,'Upper Keg'!$A$2:$A$300,0)),0)</f>
        <v>0</v>
      </c>
      <c r="I124" s="9">
        <f>IFERROR(INDEX('Astral Bar'!$F$2:$F$300,MATCH(A124,'Astral Bar'!$A$2:$A$300,0)),0)</f>
        <v>0</v>
      </c>
      <c r="J124" s="9">
        <f>IFERROR(INDEX('GB1 Bar'!$F$2:$F$300,MATCH(A124,'GB1 Bar'!$A$2:$A$300,0)),0)</f>
        <v>0</v>
      </c>
      <c r="K124" s="9">
        <f>IFERROR(INDEX('GB2 Bar'!$F$2:$F$300,MATCH(A124,'GB2 Bar'!$A$2:$A$300,0)),0)</f>
        <v>0</v>
      </c>
      <c r="L124" s="9">
        <f>IFERROR(INDEX('CB1 Bar'!$F$2:$F$300,MATCH(A124,'CB1 Bar'!$A$2:$A$300,0)),0)</f>
        <v>0</v>
      </c>
      <c r="M124" s="9">
        <f>IFERROR(INDEX('CB2 Bar'!$F$2:$F$300,MATCH(A124,'CB2 Bar'!$A$2:$A$300,0)),0)</f>
        <v>0</v>
      </c>
      <c r="N124" s="9">
        <f>IFERROR(INDEX('CB3 Bar'!$F$2:$F$300,MATCH(A124,'CB3 Bar'!$A$2:$A$300,0)),0)</f>
        <v>0</v>
      </c>
      <c r="O124" s="9">
        <f>IFERROR(INDEX('Spirits Room'!$F$2:$F$300,MATCH(A124,'Spirits Room'!$A$2:$A$300,0)),0)</f>
        <v>0</v>
      </c>
      <c r="P124" s="9">
        <f>IFERROR(INDEX('White Wine Fridge'!$F$2:$F$300,MATCH(A124,'White Wine Fridge'!$A$2:$A$300,0)),0)</f>
        <v>0</v>
      </c>
      <c r="Q124" s="9">
        <f>IFERROR(INDEX('Lower Keg'!$F$2:$F$300,MATCH(A124,'Lower Keg'!$A$2:$A$300,0)),0)</f>
        <v>0</v>
      </c>
      <c r="R124" s="9">
        <f>IFERROR(INDEX('Botanical Storeroom'!$F$2:$F$300,MATCH(A124,'Botanical Storeroom'!$A$2:$A$300,0)),0)</f>
        <v>0</v>
      </c>
      <c r="S124" s="9">
        <f>IFERROR(INDEX('Botanical Bar'!$F$2:$F$300,MATCH(A124,'Botanical Bar'!$A$2:$A$300,0)),0)</f>
        <v>0</v>
      </c>
      <c r="T124" s="9">
        <f>IFERROR(INDEX('Loading Dock Fridge'!$F$2:$F$300,MATCH(A124,'Loading Dock Fridge'!$A$2:$A$300,0)),0)</f>
        <v>0</v>
      </c>
      <c r="U124" s="9">
        <f>IFERROR(INDEX('Postmix Loading Dock'!$F$2:$F$300,MATCH(A124,'Postmix Loading Dock'!$A$2:$A$300,0)),0)</f>
        <v>0</v>
      </c>
      <c r="V124" s="9">
        <f>IFERROR(INDEX('Postmix Lower Keg'!$F$2:$F$300,MATCH(A124,'Postmix Lower Keg'!$A$2:$A$300,0)),0)</f>
        <v>0</v>
      </c>
      <c r="W124" s="10">
        <f>IFERROR(INDEX('Postmix TWR'!$F$2:$F$300,MATCH(A124,'Postmix TWR'!$A$2:$A$300,0)),0)</f>
        <v>0</v>
      </c>
    </row>
    <row r="125" spans="1:23" x14ac:dyDescent="0.35">
      <c r="A125" s="8">
        <v>30</v>
      </c>
      <c r="B125" s="9" t="s">
        <v>171</v>
      </c>
      <c r="C125" s="9" t="s">
        <v>156</v>
      </c>
      <c r="D125" s="9" t="s">
        <v>176</v>
      </c>
      <c r="E125" s="17">
        <v>6</v>
      </c>
      <c r="F125" s="23">
        <f t="shared" si="3"/>
        <v>0</v>
      </c>
      <c r="G125" s="9">
        <f>IFERROR(INDEX('Juice Fridge'!$F$2:$F$300,MATCH(A125,'Juice Fridge'!$A$2:$A$300,0)),0)</f>
        <v>0</v>
      </c>
      <c r="H125" s="9">
        <f>IFERROR(INDEX('Upper Keg'!$F$2:$F$300,MATCH(A125,'Upper Keg'!$A$2:$A$300,0)),0)</f>
        <v>0</v>
      </c>
      <c r="I125" s="9">
        <f>IFERROR(INDEX('Astral Bar'!$F$2:$F$300,MATCH(A125,'Astral Bar'!$A$2:$A$300,0)),0)</f>
        <v>0</v>
      </c>
      <c r="J125" s="9">
        <f>IFERROR(INDEX('GB1 Bar'!$F$2:$F$300,MATCH(A125,'GB1 Bar'!$A$2:$A$300,0)),0)</f>
        <v>0</v>
      </c>
      <c r="K125" s="9">
        <f>IFERROR(INDEX('GB2 Bar'!$F$2:$F$300,MATCH(A125,'GB2 Bar'!$A$2:$A$300,0)),0)</f>
        <v>0</v>
      </c>
      <c r="L125" s="9">
        <f>IFERROR(INDEX('CB1 Bar'!$F$2:$F$300,MATCH(A125,'CB1 Bar'!$A$2:$A$300,0)),0)</f>
        <v>0</v>
      </c>
      <c r="M125" s="9">
        <f>IFERROR(INDEX('CB2 Bar'!$F$2:$F$300,MATCH(A125,'CB2 Bar'!$A$2:$A$300,0)),0)</f>
        <v>0</v>
      </c>
      <c r="N125" s="9">
        <f>IFERROR(INDEX('CB3 Bar'!$F$2:$F$300,MATCH(A125,'CB3 Bar'!$A$2:$A$300,0)),0)</f>
        <v>0</v>
      </c>
      <c r="O125" s="9">
        <f>IFERROR(INDEX('Spirits Room'!$F$2:$F$300,MATCH(A125,'Spirits Room'!$A$2:$A$300,0)),0)</f>
        <v>0</v>
      </c>
      <c r="P125" s="9">
        <f>IFERROR(INDEX('White Wine Fridge'!$F$2:$F$300,MATCH(A125,'White Wine Fridge'!$A$2:$A$300,0)),0)</f>
        <v>0</v>
      </c>
      <c r="Q125" s="9">
        <f>IFERROR(INDEX('Lower Keg'!$F$2:$F$300,MATCH(A125,'Lower Keg'!$A$2:$A$300,0)),0)</f>
        <v>0</v>
      </c>
      <c r="R125" s="9">
        <f>IFERROR(INDEX('Botanical Storeroom'!$F$2:$F$300,MATCH(A125,'Botanical Storeroom'!$A$2:$A$300,0)),0)</f>
        <v>0</v>
      </c>
      <c r="S125" s="9">
        <f>IFERROR(INDEX('Botanical Bar'!$F$2:$F$300,MATCH(A125,'Botanical Bar'!$A$2:$A$300,0)),0)</f>
        <v>0</v>
      </c>
      <c r="T125" s="9">
        <f>IFERROR(INDEX('Loading Dock Fridge'!$F$2:$F$300,MATCH(A125,'Loading Dock Fridge'!$A$2:$A$300,0)),0)</f>
        <v>0</v>
      </c>
      <c r="U125" s="9">
        <f>IFERROR(INDEX('Postmix Loading Dock'!$F$2:$F$300,MATCH(A125,'Postmix Loading Dock'!$A$2:$A$300,0)),0)</f>
        <v>0</v>
      </c>
      <c r="V125" s="9">
        <f>IFERROR(INDEX('Postmix Lower Keg'!$F$2:$F$300,MATCH(A125,'Postmix Lower Keg'!$A$2:$A$300,0)),0)</f>
        <v>0</v>
      </c>
      <c r="W125" s="10">
        <f>IFERROR(INDEX('Postmix TWR'!$F$2:$F$300,MATCH(A125,'Postmix TWR'!$A$2:$A$300,0)),0)</f>
        <v>0</v>
      </c>
    </row>
    <row r="126" spans="1:23" x14ac:dyDescent="0.35">
      <c r="A126" s="8">
        <v>58071</v>
      </c>
      <c r="B126" s="9" t="s">
        <v>171</v>
      </c>
      <c r="C126" s="9" t="s">
        <v>156</v>
      </c>
      <c r="D126" s="9" t="s">
        <v>177</v>
      </c>
      <c r="E126" s="17">
        <v>6</v>
      </c>
      <c r="F126" s="23">
        <f t="shared" si="3"/>
        <v>0</v>
      </c>
      <c r="G126" s="9">
        <f>IFERROR(INDEX('Juice Fridge'!$F$2:$F$300,MATCH(A126,'Juice Fridge'!$A$2:$A$300,0)),0)</f>
        <v>0</v>
      </c>
      <c r="H126" s="9">
        <f>IFERROR(INDEX('Upper Keg'!$F$2:$F$300,MATCH(A126,'Upper Keg'!$A$2:$A$300,0)),0)</f>
        <v>0</v>
      </c>
      <c r="I126" s="9">
        <f>IFERROR(INDEX('Astral Bar'!$F$2:$F$300,MATCH(A126,'Astral Bar'!$A$2:$A$300,0)),0)</f>
        <v>0</v>
      </c>
      <c r="J126" s="9">
        <f>IFERROR(INDEX('GB1 Bar'!$F$2:$F$300,MATCH(A126,'GB1 Bar'!$A$2:$A$300,0)),0)</f>
        <v>0</v>
      </c>
      <c r="K126" s="9">
        <f>IFERROR(INDEX('GB2 Bar'!$F$2:$F$300,MATCH(A126,'GB2 Bar'!$A$2:$A$300,0)),0)</f>
        <v>0</v>
      </c>
      <c r="L126" s="9">
        <f>IFERROR(INDEX('CB1 Bar'!$F$2:$F$300,MATCH(A126,'CB1 Bar'!$A$2:$A$300,0)),0)</f>
        <v>0</v>
      </c>
      <c r="M126" s="9">
        <f>IFERROR(INDEX('CB2 Bar'!$F$2:$F$300,MATCH(A126,'CB2 Bar'!$A$2:$A$300,0)),0)</f>
        <v>0</v>
      </c>
      <c r="N126" s="9">
        <f>IFERROR(INDEX('CB3 Bar'!$F$2:$F$300,MATCH(A126,'CB3 Bar'!$A$2:$A$300,0)),0)</f>
        <v>0</v>
      </c>
      <c r="O126" s="9">
        <f>IFERROR(INDEX('Spirits Room'!$F$2:$F$300,MATCH(A126,'Spirits Room'!$A$2:$A$300,0)),0)</f>
        <v>0</v>
      </c>
      <c r="P126" s="9">
        <f>IFERROR(INDEX('White Wine Fridge'!$F$2:$F$300,MATCH(A126,'White Wine Fridge'!$A$2:$A$300,0)),0)</f>
        <v>0</v>
      </c>
      <c r="Q126" s="9">
        <f>IFERROR(INDEX('Lower Keg'!$F$2:$F$300,MATCH(A126,'Lower Keg'!$A$2:$A$300,0)),0)</f>
        <v>0</v>
      </c>
      <c r="R126" s="9">
        <f>IFERROR(INDEX('Botanical Storeroom'!$F$2:$F$300,MATCH(A126,'Botanical Storeroom'!$A$2:$A$300,0)),0)</f>
        <v>0</v>
      </c>
      <c r="S126" s="9">
        <f>IFERROR(INDEX('Botanical Bar'!$F$2:$F$300,MATCH(A126,'Botanical Bar'!$A$2:$A$300,0)),0)</f>
        <v>0</v>
      </c>
      <c r="T126" s="9">
        <f>IFERROR(INDEX('Loading Dock Fridge'!$F$2:$F$300,MATCH(A126,'Loading Dock Fridge'!$A$2:$A$300,0)),0)</f>
        <v>0</v>
      </c>
      <c r="U126" s="9">
        <f>IFERROR(INDEX('Postmix Loading Dock'!$F$2:$F$300,MATCH(A126,'Postmix Loading Dock'!$A$2:$A$300,0)),0)</f>
        <v>0</v>
      </c>
      <c r="V126" s="9">
        <f>IFERROR(INDEX('Postmix Lower Keg'!$F$2:$F$300,MATCH(A126,'Postmix Lower Keg'!$A$2:$A$300,0)),0)</f>
        <v>0</v>
      </c>
      <c r="W126" s="10">
        <f>IFERROR(INDEX('Postmix TWR'!$F$2:$F$300,MATCH(A126,'Postmix TWR'!$A$2:$A$300,0)),0)</f>
        <v>0</v>
      </c>
    </row>
    <row r="127" spans="1:23" x14ac:dyDescent="0.35">
      <c r="A127" s="8">
        <v>32483</v>
      </c>
      <c r="B127" s="9" t="s">
        <v>178</v>
      </c>
      <c r="C127" s="9" t="s">
        <v>156</v>
      </c>
      <c r="D127" s="9" t="s">
        <v>179</v>
      </c>
      <c r="E127" s="17">
        <v>6</v>
      </c>
      <c r="F127" s="23">
        <f t="shared" si="3"/>
        <v>0</v>
      </c>
      <c r="G127" s="9">
        <f>IFERROR(INDEX('Juice Fridge'!$F$2:$F$300,MATCH(A127,'Juice Fridge'!$A$2:$A$300,0)),0)</f>
        <v>0</v>
      </c>
      <c r="H127" s="9">
        <f>IFERROR(INDEX('Upper Keg'!$F$2:$F$300,MATCH(A127,'Upper Keg'!$A$2:$A$300,0)),0)</f>
        <v>0</v>
      </c>
      <c r="I127" s="9">
        <f>IFERROR(INDEX('Astral Bar'!$F$2:$F$300,MATCH(A127,'Astral Bar'!$A$2:$A$300,0)),0)</f>
        <v>0</v>
      </c>
      <c r="J127" s="9">
        <f>IFERROR(INDEX('GB1 Bar'!$F$2:$F$300,MATCH(A127,'GB1 Bar'!$A$2:$A$300,0)),0)</f>
        <v>0</v>
      </c>
      <c r="K127" s="9">
        <f>IFERROR(INDEX('GB2 Bar'!$F$2:$F$300,MATCH(A127,'GB2 Bar'!$A$2:$A$300,0)),0)</f>
        <v>0</v>
      </c>
      <c r="L127" s="9">
        <f>IFERROR(INDEX('CB1 Bar'!$F$2:$F$300,MATCH(A127,'CB1 Bar'!$A$2:$A$300,0)),0)</f>
        <v>0</v>
      </c>
      <c r="M127" s="9">
        <f>IFERROR(INDEX('CB2 Bar'!$F$2:$F$300,MATCH(A127,'CB2 Bar'!$A$2:$A$300,0)),0)</f>
        <v>0</v>
      </c>
      <c r="N127" s="9">
        <f>IFERROR(INDEX('CB3 Bar'!$F$2:$F$300,MATCH(A127,'CB3 Bar'!$A$2:$A$300,0)),0)</f>
        <v>0</v>
      </c>
      <c r="O127" s="9">
        <f>IFERROR(INDEX('Spirits Room'!$F$2:$F$300,MATCH(A127,'Spirits Room'!$A$2:$A$300,0)),0)</f>
        <v>0</v>
      </c>
      <c r="P127" s="9">
        <f>IFERROR(INDEX('White Wine Fridge'!$F$2:$F$300,MATCH(A127,'White Wine Fridge'!$A$2:$A$300,0)),0)</f>
        <v>0</v>
      </c>
      <c r="Q127" s="9">
        <f>IFERROR(INDEX('Lower Keg'!$F$2:$F$300,MATCH(A127,'Lower Keg'!$A$2:$A$300,0)),0)</f>
        <v>0</v>
      </c>
      <c r="R127" s="9">
        <f>IFERROR(INDEX('Botanical Storeroom'!$F$2:$F$300,MATCH(A127,'Botanical Storeroom'!$A$2:$A$300,0)),0)</f>
        <v>0</v>
      </c>
      <c r="S127" s="9">
        <f>IFERROR(INDEX('Botanical Bar'!$F$2:$F$300,MATCH(A127,'Botanical Bar'!$A$2:$A$300,0)),0)</f>
        <v>0</v>
      </c>
      <c r="T127" s="9">
        <f>IFERROR(INDEX('Loading Dock Fridge'!$F$2:$F$300,MATCH(A127,'Loading Dock Fridge'!$A$2:$A$300,0)),0)</f>
        <v>0</v>
      </c>
      <c r="U127" s="9">
        <f>IFERROR(INDEX('Postmix Loading Dock'!$F$2:$F$300,MATCH(A127,'Postmix Loading Dock'!$A$2:$A$300,0)),0)</f>
        <v>0</v>
      </c>
      <c r="V127" s="9">
        <f>IFERROR(INDEX('Postmix Lower Keg'!$F$2:$F$300,MATCH(A127,'Postmix Lower Keg'!$A$2:$A$300,0)),0)</f>
        <v>0</v>
      </c>
      <c r="W127" s="10">
        <f>IFERROR(INDEX('Postmix TWR'!$F$2:$F$300,MATCH(A127,'Postmix TWR'!$A$2:$A$300,0)),0)</f>
        <v>0</v>
      </c>
    </row>
    <row r="128" spans="1:23" x14ac:dyDescent="0.35">
      <c r="A128" s="8">
        <v>17906</v>
      </c>
      <c r="B128" s="9" t="s">
        <v>178</v>
      </c>
      <c r="C128" s="9" t="s">
        <v>156</v>
      </c>
      <c r="D128" s="9" t="s">
        <v>180</v>
      </c>
      <c r="E128" s="17">
        <v>6</v>
      </c>
      <c r="F128" s="23">
        <f t="shared" si="3"/>
        <v>0</v>
      </c>
      <c r="G128" s="9">
        <f>IFERROR(INDEX('Juice Fridge'!$F$2:$F$300,MATCH(A128,'Juice Fridge'!$A$2:$A$300,0)),0)</f>
        <v>0</v>
      </c>
      <c r="H128" s="9">
        <f>IFERROR(INDEX('Upper Keg'!$F$2:$F$300,MATCH(A128,'Upper Keg'!$A$2:$A$300,0)),0)</f>
        <v>0</v>
      </c>
      <c r="I128" s="9">
        <f>IFERROR(INDEX('Astral Bar'!$F$2:$F$300,MATCH(A128,'Astral Bar'!$A$2:$A$300,0)),0)</f>
        <v>0</v>
      </c>
      <c r="J128" s="9">
        <f>IFERROR(INDEX('GB1 Bar'!$F$2:$F$300,MATCH(A128,'GB1 Bar'!$A$2:$A$300,0)),0)</f>
        <v>0</v>
      </c>
      <c r="K128" s="9">
        <f>IFERROR(INDEX('GB2 Bar'!$F$2:$F$300,MATCH(A128,'GB2 Bar'!$A$2:$A$300,0)),0)</f>
        <v>0</v>
      </c>
      <c r="L128" s="9">
        <f>IFERROR(INDEX('CB1 Bar'!$F$2:$F$300,MATCH(A128,'CB1 Bar'!$A$2:$A$300,0)),0)</f>
        <v>0</v>
      </c>
      <c r="M128" s="9">
        <f>IFERROR(INDEX('CB2 Bar'!$F$2:$F$300,MATCH(A128,'CB2 Bar'!$A$2:$A$300,0)),0)</f>
        <v>0</v>
      </c>
      <c r="N128" s="9">
        <f>IFERROR(INDEX('CB3 Bar'!$F$2:$F$300,MATCH(A128,'CB3 Bar'!$A$2:$A$300,0)),0)</f>
        <v>0</v>
      </c>
      <c r="O128" s="9">
        <f>IFERROR(INDEX('Spirits Room'!$F$2:$F$300,MATCH(A128,'Spirits Room'!$A$2:$A$300,0)),0)</f>
        <v>0</v>
      </c>
      <c r="P128" s="9">
        <f>IFERROR(INDEX('White Wine Fridge'!$F$2:$F$300,MATCH(A128,'White Wine Fridge'!$A$2:$A$300,0)),0)</f>
        <v>0</v>
      </c>
      <c r="Q128" s="9">
        <f>IFERROR(INDEX('Lower Keg'!$F$2:$F$300,MATCH(A128,'Lower Keg'!$A$2:$A$300,0)),0)</f>
        <v>0</v>
      </c>
      <c r="R128" s="9">
        <f>IFERROR(INDEX('Botanical Storeroom'!$F$2:$F$300,MATCH(A128,'Botanical Storeroom'!$A$2:$A$300,0)),0)</f>
        <v>0</v>
      </c>
      <c r="S128" s="9">
        <f>IFERROR(INDEX('Botanical Bar'!$F$2:$F$300,MATCH(A128,'Botanical Bar'!$A$2:$A$300,0)),0)</f>
        <v>0</v>
      </c>
      <c r="T128" s="9">
        <f>IFERROR(INDEX('Loading Dock Fridge'!$F$2:$F$300,MATCH(A128,'Loading Dock Fridge'!$A$2:$A$300,0)),0)</f>
        <v>0</v>
      </c>
      <c r="U128" s="9">
        <f>IFERROR(INDEX('Postmix Loading Dock'!$F$2:$F$300,MATCH(A128,'Postmix Loading Dock'!$A$2:$A$300,0)),0)</f>
        <v>0</v>
      </c>
      <c r="V128" s="9">
        <f>IFERROR(INDEX('Postmix Lower Keg'!$F$2:$F$300,MATCH(A128,'Postmix Lower Keg'!$A$2:$A$300,0)),0)</f>
        <v>0</v>
      </c>
      <c r="W128" s="10">
        <f>IFERROR(INDEX('Postmix TWR'!$F$2:$F$300,MATCH(A128,'Postmix TWR'!$A$2:$A$300,0)),0)</f>
        <v>0</v>
      </c>
    </row>
    <row r="129" spans="1:23" x14ac:dyDescent="0.35">
      <c r="A129" s="8">
        <v>19603</v>
      </c>
      <c r="B129" s="9" t="s">
        <v>178</v>
      </c>
      <c r="C129" s="9" t="s">
        <v>156</v>
      </c>
      <c r="D129" s="9" t="s">
        <v>181</v>
      </c>
      <c r="E129" s="17">
        <v>6</v>
      </c>
      <c r="F129" s="23">
        <f t="shared" si="3"/>
        <v>0</v>
      </c>
      <c r="G129" s="9">
        <f>IFERROR(INDEX('Juice Fridge'!$F$2:$F$300,MATCH(A129,'Juice Fridge'!$A$2:$A$300,0)),0)</f>
        <v>0</v>
      </c>
      <c r="H129" s="9">
        <f>IFERROR(INDEX('Upper Keg'!$F$2:$F$300,MATCH(A129,'Upper Keg'!$A$2:$A$300,0)),0)</f>
        <v>0</v>
      </c>
      <c r="I129" s="9">
        <f>IFERROR(INDEX('Astral Bar'!$F$2:$F$300,MATCH(A129,'Astral Bar'!$A$2:$A$300,0)),0)</f>
        <v>0</v>
      </c>
      <c r="J129" s="9">
        <f>IFERROR(INDEX('GB1 Bar'!$F$2:$F$300,MATCH(A129,'GB1 Bar'!$A$2:$A$300,0)),0)</f>
        <v>0</v>
      </c>
      <c r="K129" s="9">
        <f>IFERROR(INDEX('GB2 Bar'!$F$2:$F$300,MATCH(A129,'GB2 Bar'!$A$2:$A$300,0)),0)</f>
        <v>0</v>
      </c>
      <c r="L129" s="9">
        <f>IFERROR(INDEX('CB1 Bar'!$F$2:$F$300,MATCH(A129,'CB1 Bar'!$A$2:$A$300,0)),0)</f>
        <v>0</v>
      </c>
      <c r="M129" s="9">
        <f>IFERROR(INDEX('CB2 Bar'!$F$2:$F$300,MATCH(A129,'CB2 Bar'!$A$2:$A$300,0)),0)</f>
        <v>0</v>
      </c>
      <c r="N129" s="9">
        <f>IFERROR(INDEX('CB3 Bar'!$F$2:$F$300,MATCH(A129,'CB3 Bar'!$A$2:$A$300,0)),0)</f>
        <v>0</v>
      </c>
      <c r="O129" s="9">
        <f>IFERROR(INDEX('Spirits Room'!$F$2:$F$300,MATCH(A129,'Spirits Room'!$A$2:$A$300,0)),0)</f>
        <v>0</v>
      </c>
      <c r="P129" s="9">
        <f>IFERROR(INDEX('White Wine Fridge'!$F$2:$F$300,MATCH(A129,'White Wine Fridge'!$A$2:$A$300,0)),0)</f>
        <v>0</v>
      </c>
      <c r="Q129" s="9">
        <f>IFERROR(INDEX('Lower Keg'!$F$2:$F$300,MATCH(A129,'Lower Keg'!$A$2:$A$300,0)),0)</f>
        <v>0</v>
      </c>
      <c r="R129" s="9">
        <f>IFERROR(INDEX('Botanical Storeroom'!$F$2:$F$300,MATCH(A129,'Botanical Storeroom'!$A$2:$A$300,0)),0)</f>
        <v>0</v>
      </c>
      <c r="S129" s="9">
        <f>IFERROR(INDEX('Botanical Bar'!$F$2:$F$300,MATCH(A129,'Botanical Bar'!$A$2:$A$300,0)),0)</f>
        <v>0</v>
      </c>
      <c r="T129" s="9">
        <f>IFERROR(INDEX('Loading Dock Fridge'!$F$2:$F$300,MATCH(A129,'Loading Dock Fridge'!$A$2:$A$300,0)),0)</f>
        <v>0</v>
      </c>
      <c r="U129" s="9">
        <f>IFERROR(INDEX('Postmix Loading Dock'!$F$2:$F$300,MATCH(A129,'Postmix Loading Dock'!$A$2:$A$300,0)),0)</f>
        <v>0</v>
      </c>
      <c r="V129" s="9">
        <f>IFERROR(INDEX('Postmix Lower Keg'!$F$2:$F$300,MATCH(A129,'Postmix Lower Keg'!$A$2:$A$300,0)),0)</f>
        <v>0</v>
      </c>
      <c r="W129" s="10">
        <f>IFERROR(INDEX('Postmix TWR'!$F$2:$F$300,MATCH(A129,'Postmix TWR'!$A$2:$A$300,0)),0)</f>
        <v>0</v>
      </c>
    </row>
    <row r="130" spans="1:23" x14ac:dyDescent="0.35">
      <c r="A130" s="8">
        <v>34091</v>
      </c>
      <c r="B130" s="9" t="s">
        <v>178</v>
      </c>
      <c r="C130" s="9" t="s">
        <v>156</v>
      </c>
      <c r="D130" s="9" t="s">
        <v>182</v>
      </c>
      <c r="E130" s="17">
        <v>6</v>
      </c>
      <c r="F130" s="23">
        <f t="shared" ref="F130:F161" si="4">G130+H130+I130+J130+K130+L130+M130+N130+O130+P130+Q130+R130+S130+T130+U130+V130+W130</f>
        <v>0</v>
      </c>
      <c r="G130" s="9">
        <f>IFERROR(INDEX('Juice Fridge'!$F$2:$F$300,MATCH(A130,'Juice Fridge'!$A$2:$A$300,0)),0)</f>
        <v>0</v>
      </c>
      <c r="H130" s="9">
        <f>IFERROR(INDEX('Upper Keg'!$F$2:$F$300,MATCH(A130,'Upper Keg'!$A$2:$A$300,0)),0)</f>
        <v>0</v>
      </c>
      <c r="I130" s="9">
        <f>IFERROR(INDEX('Astral Bar'!$F$2:$F$300,MATCH(A130,'Astral Bar'!$A$2:$A$300,0)),0)</f>
        <v>0</v>
      </c>
      <c r="J130" s="9">
        <f>IFERROR(INDEX('GB1 Bar'!$F$2:$F$300,MATCH(A130,'GB1 Bar'!$A$2:$A$300,0)),0)</f>
        <v>0</v>
      </c>
      <c r="K130" s="9">
        <f>IFERROR(INDEX('GB2 Bar'!$F$2:$F$300,MATCH(A130,'GB2 Bar'!$A$2:$A$300,0)),0)</f>
        <v>0</v>
      </c>
      <c r="L130" s="9">
        <f>IFERROR(INDEX('CB1 Bar'!$F$2:$F$300,MATCH(A130,'CB1 Bar'!$A$2:$A$300,0)),0)</f>
        <v>0</v>
      </c>
      <c r="M130" s="9">
        <f>IFERROR(INDEX('CB2 Bar'!$F$2:$F$300,MATCH(A130,'CB2 Bar'!$A$2:$A$300,0)),0)</f>
        <v>0</v>
      </c>
      <c r="N130" s="9">
        <f>IFERROR(INDEX('CB3 Bar'!$F$2:$F$300,MATCH(A130,'CB3 Bar'!$A$2:$A$300,0)),0)</f>
        <v>0</v>
      </c>
      <c r="O130" s="9">
        <f>IFERROR(INDEX('Spirits Room'!$F$2:$F$300,MATCH(A130,'Spirits Room'!$A$2:$A$300,0)),0)</f>
        <v>0</v>
      </c>
      <c r="P130" s="9">
        <f>IFERROR(INDEX('White Wine Fridge'!$F$2:$F$300,MATCH(A130,'White Wine Fridge'!$A$2:$A$300,0)),0)</f>
        <v>0</v>
      </c>
      <c r="Q130" s="9">
        <f>IFERROR(INDEX('Lower Keg'!$F$2:$F$300,MATCH(A130,'Lower Keg'!$A$2:$A$300,0)),0)</f>
        <v>0</v>
      </c>
      <c r="R130" s="9">
        <f>IFERROR(INDEX('Botanical Storeroom'!$F$2:$F$300,MATCH(A130,'Botanical Storeroom'!$A$2:$A$300,0)),0)</f>
        <v>0</v>
      </c>
      <c r="S130" s="9">
        <f>IFERROR(INDEX('Botanical Bar'!$F$2:$F$300,MATCH(A130,'Botanical Bar'!$A$2:$A$300,0)),0)</f>
        <v>0</v>
      </c>
      <c r="T130" s="9">
        <f>IFERROR(INDEX('Loading Dock Fridge'!$F$2:$F$300,MATCH(A130,'Loading Dock Fridge'!$A$2:$A$300,0)),0)</f>
        <v>0</v>
      </c>
      <c r="U130" s="9">
        <f>IFERROR(INDEX('Postmix Loading Dock'!$F$2:$F$300,MATCH(A130,'Postmix Loading Dock'!$A$2:$A$300,0)),0)</f>
        <v>0</v>
      </c>
      <c r="V130" s="9">
        <f>IFERROR(INDEX('Postmix Lower Keg'!$F$2:$F$300,MATCH(A130,'Postmix Lower Keg'!$A$2:$A$300,0)),0)</f>
        <v>0</v>
      </c>
      <c r="W130" s="10">
        <f>IFERROR(INDEX('Postmix TWR'!$F$2:$F$300,MATCH(A130,'Postmix TWR'!$A$2:$A$300,0)),0)</f>
        <v>0</v>
      </c>
    </row>
    <row r="131" spans="1:23" x14ac:dyDescent="0.35">
      <c r="A131" s="8">
        <v>58444</v>
      </c>
      <c r="B131" s="9" t="s">
        <v>178</v>
      </c>
      <c r="C131" s="9" t="s">
        <v>156</v>
      </c>
      <c r="D131" s="9" t="s">
        <v>183</v>
      </c>
      <c r="E131" s="17">
        <v>6</v>
      </c>
      <c r="F131" s="23">
        <f t="shared" si="4"/>
        <v>0</v>
      </c>
      <c r="G131" s="9">
        <f>IFERROR(INDEX('Juice Fridge'!$F$2:$F$300,MATCH(A131,'Juice Fridge'!$A$2:$A$300,0)),0)</f>
        <v>0</v>
      </c>
      <c r="H131" s="9">
        <f>IFERROR(INDEX('Upper Keg'!$F$2:$F$300,MATCH(A131,'Upper Keg'!$A$2:$A$300,0)),0)</f>
        <v>0</v>
      </c>
      <c r="I131" s="9">
        <f>IFERROR(INDEX('Astral Bar'!$F$2:$F$300,MATCH(A131,'Astral Bar'!$A$2:$A$300,0)),0)</f>
        <v>0</v>
      </c>
      <c r="J131" s="9">
        <f>IFERROR(INDEX('GB1 Bar'!$F$2:$F$300,MATCH(A131,'GB1 Bar'!$A$2:$A$300,0)),0)</f>
        <v>0</v>
      </c>
      <c r="K131" s="9">
        <f>IFERROR(INDEX('GB2 Bar'!$F$2:$F$300,MATCH(A131,'GB2 Bar'!$A$2:$A$300,0)),0)</f>
        <v>0</v>
      </c>
      <c r="L131" s="9">
        <f>IFERROR(INDEX('CB1 Bar'!$F$2:$F$300,MATCH(A131,'CB1 Bar'!$A$2:$A$300,0)),0)</f>
        <v>0</v>
      </c>
      <c r="M131" s="9">
        <f>IFERROR(INDEX('CB2 Bar'!$F$2:$F$300,MATCH(A131,'CB2 Bar'!$A$2:$A$300,0)),0)</f>
        <v>0</v>
      </c>
      <c r="N131" s="9">
        <f>IFERROR(INDEX('CB3 Bar'!$F$2:$F$300,MATCH(A131,'CB3 Bar'!$A$2:$A$300,0)),0)</f>
        <v>0</v>
      </c>
      <c r="O131" s="9">
        <f>IFERROR(INDEX('Spirits Room'!$F$2:$F$300,MATCH(A131,'Spirits Room'!$A$2:$A$300,0)),0)</f>
        <v>0</v>
      </c>
      <c r="P131" s="9">
        <f>IFERROR(INDEX('White Wine Fridge'!$F$2:$F$300,MATCH(A131,'White Wine Fridge'!$A$2:$A$300,0)),0)</f>
        <v>0</v>
      </c>
      <c r="Q131" s="9">
        <f>IFERROR(INDEX('Lower Keg'!$F$2:$F$300,MATCH(A131,'Lower Keg'!$A$2:$A$300,0)),0)</f>
        <v>0</v>
      </c>
      <c r="R131" s="9">
        <f>IFERROR(INDEX('Botanical Storeroom'!$F$2:$F$300,MATCH(A131,'Botanical Storeroom'!$A$2:$A$300,0)),0)</f>
        <v>0</v>
      </c>
      <c r="S131" s="9">
        <f>IFERROR(INDEX('Botanical Bar'!$F$2:$F$300,MATCH(A131,'Botanical Bar'!$A$2:$A$300,0)),0)</f>
        <v>0</v>
      </c>
      <c r="T131" s="9">
        <f>IFERROR(INDEX('Loading Dock Fridge'!$F$2:$F$300,MATCH(A131,'Loading Dock Fridge'!$A$2:$A$300,0)),0)</f>
        <v>0</v>
      </c>
      <c r="U131" s="9">
        <f>IFERROR(INDEX('Postmix Loading Dock'!$F$2:$F$300,MATCH(A131,'Postmix Loading Dock'!$A$2:$A$300,0)),0)</f>
        <v>0</v>
      </c>
      <c r="V131" s="9">
        <f>IFERROR(INDEX('Postmix Lower Keg'!$F$2:$F$300,MATCH(A131,'Postmix Lower Keg'!$A$2:$A$300,0)),0)</f>
        <v>0</v>
      </c>
      <c r="W131" s="10">
        <f>IFERROR(INDEX('Postmix TWR'!$F$2:$F$300,MATCH(A131,'Postmix TWR'!$A$2:$A$300,0)),0)</f>
        <v>0</v>
      </c>
    </row>
    <row r="132" spans="1:23" x14ac:dyDescent="0.35">
      <c r="A132" s="8">
        <v>15979</v>
      </c>
      <c r="B132" s="9" t="s">
        <v>178</v>
      </c>
      <c r="C132" s="9" t="s">
        <v>156</v>
      </c>
      <c r="D132" s="9" t="s">
        <v>184</v>
      </c>
      <c r="E132" s="17">
        <v>6</v>
      </c>
      <c r="F132" s="23">
        <f t="shared" si="4"/>
        <v>0</v>
      </c>
      <c r="G132" s="9">
        <f>IFERROR(INDEX('Juice Fridge'!$F$2:$F$300,MATCH(A132,'Juice Fridge'!$A$2:$A$300,0)),0)</f>
        <v>0</v>
      </c>
      <c r="H132" s="9">
        <f>IFERROR(INDEX('Upper Keg'!$F$2:$F$300,MATCH(A132,'Upper Keg'!$A$2:$A$300,0)),0)</f>
        <v>0</v>
      </c>
      <c r="I132" s="9">
        <f>IFERROR(INDEX('Astral Bar'!$F$2:$F$300,MATCH(A132,'Astral Bar'!$A$2:$A$300,0)),0)</f>
        <v>0</v>
      </c>
      <c r="J132" s="9">
        <f>IFERROR(INDEX('GB1 Bar'!$F$2:$F$300,MATCH(A132,'GB1 Bar'!$A$2:$A$300,0)),0)</f>
        <v>0</v>
      </c>
      <c r="K132" s="9">
        <f>IFERROR(INDEX('GB2 Bar'!$F$2:$F$300,MATCH(A132,'GB2 Bar'!$A$2:$A$300,0)),0)</f>
        <v>0</v>
      </c>
      <c r="L132" s="9">
        <f>IFERROR(INDEX('CB1 Bar'!$F$2:$F$300,MATCH(A132,'CB1 Bar'!$A$2:$A$300,0)),0)</f>
        <v>0</v>
      </c>
      <c r="M132" s="9">
        <f>IFERROR(INDEX('CB2 Bar'!$F$2:$F$300,MATCH(A132,'CB2 Bar'!$A$2:$A$300,0)),0)</f>
        <v>0</v>
      </c>
      <c r="N132" s="9">
        <f>IFERROR(INDEX('CB3 Bar'!$F$2:$F$300,MATCH(A132,'CB3 Bar'!$A$2:$A$300,0)),0)</f>
        <v>0</v>
      </c>
      <c r="O132" s="9">
        <f>IFERROR(INDEX('Spirits Room'!$F$2:$F$300,MATCH(A132,'Spirits Room'!$A$2:$A$300,0)),0)</f>
        <v>0</v>
      </c>
      <c r="P132" s="9">
        <f>IFERROR(INDEX('White Wine Fridge'!$F$2:$F$300,MATCH(A132,'White Wine Fridge'!$A$2:$A$300,0)),0)</f>
        <v>0</v>
      </c>
      <c r="Q132" s="9">
        <f>IFERROR(INDEX('Lower Keg'!$F$2:$F$300,MATCH(A132,'Lower Keg'!$A$2:$A$300,0)),0)</f>
        <v>0</v>
      </c>
      <c r="R132" s="9">
        <f>IFERROR(INDEX('Botanical Storeroom'!$F$2:$F$300,MATCH(A132,'Botanical Storeroom'!$A$2:$A$300,0)),0)</f>
        <v>0</v>
      </c>
      <c r="S132" s="9">
        <f>IFERROR(INDEX('Botanical Bar'!$F$2:$F$300,MATCH(A132,'Botanical Bar'!$A$2:$A$300,0)),0)</f>
        <v>0</v>
      </c>
      <c r="T132" s="9">
        <f>IFERROR(INDEX('Loading Dock Fridge'!$F$2:$F$300,MATCH(A132,'Loading Dock Fridge'!$A$2:$A$300,0)),0)</f>
        <v>0</v>
      </c>
      <c r="U132" s="9">
        <f>IFERROR(INDEX('Postmix Loading Dock'!$F$2:$F$300,MATCH(A132,'Postmix Loading Dock'!$A$2:$A$300,0)),0)</f>
        <v>0</v>
      </c>
      <c r="V132" s="9">
        <f>IFERROR(INDEX('Postmix Lower Keg'!$F$2:$F$300,MATCH(A132,'Postmix Lower Keg'!$A$2:$A$300,0)),0)</f>
        <v>0</v>
      </c>
      <c r="W132" s="10">
        <f>IFERROR(INDEX('Postmix TWR'!$F$2:$F$300,MATCH(A132,'Postmix TWR'!$A$2:$A$300,0)),0)</f>
        <v>0</v>
      </c>
    </row>
    <row r="133" spans="1:23" x14ac:dyDescent="0.35">
      <c r="A133" s="8">
        <v>54494</v>
      </c>
      <c r="B133" s="9" t="s">
        <v>178</v>
      </c>
      <c r="C133" s="9" t="s">
        <v>156</v>
      </c>
      <c r="D133" s="9" t="s">
        <v>185</v>
      </c>
      <c r="E133" s="17">
        <v>6</v>
      </c>
      <c r="F133" s="23">
        <f t="shared" si="4"/>
        <v>0</v>
      </c>
      <c r="G133" s="9">
        <f>IFERROR(INDEX('Juice Fridge'!$F$2:$F$300,MATCH(A133,'Juice Fridge'!$A$2:$A$300,0)),0)</f>
        <v>0</v>
      </c>
      <c r="H133" s="9">
        <f>IFERROR(INDEX('Upper Keg'!$F$2:$F$300,MATCH(A133,'Upper Keg'!$A$2:$A$300,0)),0)</f>
        <v>0</v>
      </c>
      <c r="I133" s="9">
        <f>IFERROR(INDEX('Astral Bar'!$F$2:$F$300,MATCH(A133,'Astral Bar'!$A$2:$A$300,0)),0)</f>
        <v>0</v>
      </c>
      <c r="J133" s="9">
        <f>IFERROR(INDEX('GB1 Bar'!$F$2:$F$300,MATCH(A133,'GB1 Bar'!$A$2:$A$300,0)),0)</f>
        <v>0</v>
      </c>
      <c r="K133" s="9">
        <f>IFERROR(INDEX('GB2 Bar'!$F$2:$F$300,MATCH(A133,'GB2 Bar'!$A$2:$A$300,0)),0)</f>
        <v>0</v>
      </c>
      <c r="L133" s="9">
        <f>IFERROR(INDEX('CB1 Bar'!$F$2:$F$300,MATCH(A133,'CB1 Bar'!$A$2:$A$300,0)),0)</f>
        <v>0</v>
      </c>
      <c r="M133" s="9">
        <f>IFERROR(INDEX('CB2 Bar'!$F$2:$F$300,MATCH(A133,'CB2 Bar'!$A$2:$A$300,0)),0)</f>
        <v>0</v>
      </c>
      <c r="N133" s="9">
        <f>IFERROR(INDEX('CB3 Bar'!$F$2:$F$300,MATCH(A133,'CB3 Bar'!$A$2:$A$300,0)),0)</f>
        <v>0</v>
      </c>
      <c r="O133" s="9">
        <f>IFERROR(INDEX('Spirits Room'!$F$2:$F$300,MATCH(A133,'Spirits Room'!$A$2:$A$300,0)),0)</f>
        <v>0</v>
      </c>
      <c r="P133" s="9">
        <f>IFERROR(INDEX('White Wine Fridge'!$F$2:$F$300,MATCH(A133,'White Wine Fridge'!$A$2:$A$300,0)),0)</f>
        <v>0</v>
      </c>
      <c r="Q133" s="9">
        <f>IFERROR(INDEX('Lower Keg'!$F$2:$F$300,MATCH(A133,'Lower Keg'!$A$2:$A$300,0)),0)</f>
        <v>0</v>
      </c>
      <c r="R133" s="9">
        <f>IFERROR(INDEX('Botanical Storeroom'!$F$2:$F$300,MATCH(A133,'Botanical Storeroom'!$A$2:$A$300,0)),0)</f>
        <v>0</v>
      </c>
      <c r="S133" s="9">
        <f>IFERROR(INDEX('Botanical Bar'!$F$2:$F$300,MATCH(A133,'Botanical Bar'!$A$2:$A$300,0)),0)</f>
        <v>0</v>
      </c>
      <c r="T133" s="9">
        <f>IFERROR(INDEX('Loading Dock Fridge'!$F$2:$F$300,MATCH(A133,'Loading Dock Fridge'!$A$2:$A$300,0)),0)</f>
        <v>0</v>
      </c>
      <c r="U133" s="9">
        <f>IFERROR(INDEX('Postmix Loading Dock'!$F$2:$F$300,MATCH(A133,'Postmix Loading Dock'!$A$2:$A$300,0)),0)</f>
        <v>0</v>
      </c>
      <c r="V133" s="9">
        <f>IFERROR(INDEX('Postmix Lower Keg'!$F$2:$F$300,MATCH(A133,'Postmix Lower Keg'!$A$2:$A$300,0)),0)</f>
        <v>0</v>
      </c>
      <c r="W133" s="10">
        <f>IFERROR(INDEX('Postmix TWR'!$F$2:$F$300,MATCH(A133,'Postmix TWR'!$A$2:$A$300,0)),0)</f>
        <v>0</v>
      </c>
    </row>
    <row r="134" spans="1:23" x14ac:dyDescent="0.35">
      <c r="A134" s="8">
        <v>39143</v>
      </c>
      <c r="B134" s="9" t="s">
        <v>178</v>
      </c>
      <c r="C134" s="9" t="s">
        <v>156</v>
      </c>
      <c r="D134" s="9" t="s">
        <v>186</v>
      </c>
      <c r="E134" s="17">
        <v>6</v>
      </c>
      <c r="F134" s="23">
        <f t="shared" si="4"/>
        <v>0</v>
      </c>
      <c r="G134" s="9">
        <f>IFERROR(INDEX('Juice Fridge'!$F$2:$F$300,MATCH(A134,'Juice Fridge'!$A$2:$A$300,0)),0)</f>
        <v>0</v>
      </c>
      <c r="H134" s="9">
        <f>IFERROR(INDEX('Upper Keg'!$F$2:$F$300,MATCH(A134,'Upper Keg'!$A$2:$A$300,0)),0)</f>
        <v>0</v>
      </c>
      <c r="I134" s="9">
        <f>IFERROR(INDEX('Astral Bar'!$F$2:$F$300,MATCH(A134,'Astral Bar'!$A$2:$A$300,0)),0)</f>
        <v>0</v>
      </c>
      <c r="J134" s="9">
        <f>IFERROR(INDEX('GB1 Bar'!$F$2:$F$300,MATCH(A134,'GB1 Bar'!$A$2:$A$300,0)),0)</f>
        <v>0</v>
      </c>
      <c r="K134" s="9">
        <f>IFERROR(INDEX('GB2 Bar'!$F$2:$F$300,MATCH(A134,'GB2 Bar'!$A$2:$A$300,0)),0)</f>
        <v>0</v>
      </c>
      <c r="L134" s="9">
        <f>IFERROR(INDEX('CB1 Bar'!$F$2:$F$300,MATCH(A134,'CB1 Bar'!$A$2:$A$300,0)),0)</f>
        <v>0</v>
      </c>
      <c r="M134" s="9">
        <f>IFERROR(INDEX('CB2 Bar'!$F$2:$F$300,MATCH(A134,'CB2 Bar'!$A$2:$A$300,0)),0)</f>
        <v>0</v>
      </c>
      <c r="N134" s="9">
        <f>IFERROR(INDEX('CB3 Bar'!$F$2:$F$300,MATCH(A134,'CB3 Bar'!$A$2:$A$300,0)),0)</f>
        <v>0</v>
      </c>
      <c r="O134" s="9">
        <f>IFERROR(INDEX('Spirits Room'!$F$2:$F$300,MATCH(A134,'Spirits Room'!$A$2:$A$300,0)),0)</f>
        <v>0</v>
      </c>
      <c r="P134" s="9">
        <f>IFERROR(INDEX('White Wine Fridge'!$F$2:$F$300,MATCH(A134,'White Wine Fridge'!$A$2:$A$300,0)),0)</f>
        <v>0</v>
      </c>
      <c r="Q134" s="9">
        <f>IFERROR(INDEX('Lower Keg'!$F$2:$F$300,MATCH(A134,'Lower Keg'!$A$2:$A$300,0)),0)</f>
        <v>0</v>
      </c>
      <c r="R134" s="9">
        <f>IFERROR(INDEX('Botanical Storeroom'!$F$2:$F$300,MATCH(A134,'Botanical Storeroom'!$A$2:$A$300,0)),0)</f>
        <v>0</v>
      </c>
      <c r="S134" s="9">
        <f>IFERROR(INDEX('Botanical Bar'!$F$2:$F$300,MATCH(A134,'Botanical Bar'!$A$2:$A$300,0)),0)</f>
        <v>0</v>
      </c>
      <c r="T134" s="9">
        <f>IFERROR(INDEX('Loading Dock Fridge'!$F$2:$F$300,MATCH(A134,'Loading Dock Fridge'!$A$2:$A$300,0)),0)</f>
        <v>0</v>
      </c>
      <c r="U134" s="9">
        <f>IFERROR(INDEX('Postmix Loading Dock'!$F$2:$F$300,MATCH(A134,'Postmix Loading Dock'!$A$2:$A$300,0)),0)</f>
        <v>0</v>
      </c>
      <c r="V134" s="9">
        <f>IFERROR(INDEX('Postmix Lower Keg'!$F$2:$F$300,MATCH(A134,'Postmix Lower Keg'!$A$2:$A$300,0)),0)</f>
        <v>0</v>
      </c>
      <c r="W134" s="10">
        <f>IFERROR(INDEX('Postmix TWR'!$F$2:$F$300,MATCH(A134,'Postmix TWR'!$A$2:$A$300,0)),0)</f>
        <v>0</v>
      </c>
    </row>
    <row r="135" spans="1:23" x14ac:dyDescent="0.35">
      <c r="A135" s="8">
        <v>66</v>
      </c>
      <c r="B135" s="9" t="s">
        <v>178</v>
      </c>
      <c r="C135" s="9" t="s">
        <v>156</v>
      </c>
      <c r="D135" s="9" t="s">
        <v>187</v>
      </c>
      <c r="E135" s="17">
        <v>6</v>
      </c>
      <c r="F135" s="23">
        <f t="shared" si="4"/>
        <v>0</v>
      </c>
      <c r="G135" s="9">
        <f>IFERROR(INDEX('Juice Fridge'!$F$2:$F$300,MATCH(A135,'Juice Fridge'!$A$2:$A$300,0)),0)</f>
        <v>0</v>
      </c>
      <c r="H135" s="9">
        <f>IFERROR(INDEX('Upper Keg'!$F$2:$F$300,MATCH(A135,'Upper Keg'!$A$2:$A$300,0)),0)</f>
        <v>0</v>
      </c>
      <c r="I135" s="9">
        <f>IFERROR(INDEX('Astral Bar'!$F$2:$F$300,MATCH(A135,'Astral Bar'!$A$2:$A$300,0)),0)</f>
        <v>0</v>
      </c>
      <c r="J135" s="9">
        <f>IFERROR(INDEX('GB1 Bar'!$F$2:$F$300,MATCH(A135,'GB1 Bar'!$A$2:$A$300,0)),0)</f>
        <v>0</v>
      </c>
      <c r="K135" s="9">
        <f>IFERROR(INDEX('GB2 Bar'!$F$2:$F$300,MATCH(A135,'GB2 Bar'!$A$2:$A$300,0)),0)</f>
        <v>0</v>
      </c>
      <c r="L135" s="9">
        <f>IFERROR(INDEX('CB1 Bar'!$F$2:$F$300,MATCH(A135,'CB1 Bar'!$A$2:$A$300,0)),0)</f>
        <v>0</v>
      </c>
      <c r="M135" s="9">
        <f>IFERROR(INDEX('CB2 Bar'!$F$2:$F$300,MATCH(A135,'CB2 Bar'!$A$2:$A$300,0)),0)</f>
        <v>0</v>
      </c>
      <c r="N135" s="9">
        <f>IFERROR(INDEX('CB3 Bar'!$F$2:$F$300,MATCH(A135,'CB3 Bar'!$A$2:$A$300,0)),0)</f>
        <v>0</v>
      </c>
      <c r="O135" s="9">
        <f>IFERROR(INDEX('Spirits Room'!$F$2:$F$300,MATCH(A135,'Spirits Room'!$A$2:$A$300,0)),0)</f>
        <v>0</v>
      </c>
      <c r="P135" s="9">
        <f>IFERROR(INDEX('White Wine Fridge'!$F$2:$F$300,MATCH(A135,'White Wine Fridge'!$A$2:$A$300,0)),0)</f>
        <v>0</v>
      </c>
      <c r="Q135" s="9">
        <f>IFERROR(INDEX('Lower Keg'!$F$2:$F$300,MATCH(A135,'Lower Keg'!$A$2:$A$300,0)),0)</f>
        <v>0</v>
      </c>
      <c r="R135" s="9">
        <f>IFERROR(INDEX('Botanical Storeroom'!$F$2:$F$300,MATCH(A135,'Botanical Storeroom'!$A$2:$A$300,0)),0)</f>
        <v>0</v>
      </c>
      <c r="S135" s="9">
        <f>IFERROR(INDEX('Botanical Bar'!$F$2:$F$300,MATCH(A135,'Botanical Bar'!$A$2:$A$300,0)),0)</f>
        <v>0</v>
      </c>
      <c r="T135" s="9">
        <f>IFERROR(INDEX('Loading Dock Fridge'!$F$2:$F$300,MATCH(A135,'Loading Dock Fridge'!$A$2:$A$300,0)),0)</f>
        <v>0</v>
      </c>
      <c r="U135" s="9">
        <f>IFERROR(INDEX('Postmix Loading Dock'!$F$2:$F$300,MATCH(A135,'Postmix Loading Dock'!$A$2:$A$300,0)),0)</f>
        <v>0</v>
      </c>
      <c r="V135" s="9">
        <f>IFERROR(INDEX('Postmix Lower Keg'!$F$2:$F$300,MATCH(A135,'Postmix Lower Keg'!$A$2:$A$300,0)),0)</f>
        <v>0</v>
      </c>
      <c r="W135" s="10">
        <f>IFERROR(INDEX('Postmix TWR'!$F$2:$F$300,MATCH(A135,'Postmix TWR'!$A$2:$A$300,0)),0)</f>
        <v>0</v>
      </c>
    </row>
    <row r="136" spans="1:23" x14ac:dyDescent="0.35">
      <c r="A136" s="8">
        <v>286</v>
      </c>
      <c r="B136" s="9" t="s">
        <v>178</v>
      </c>
      <c r="C136" s="9" t="s">
        <v>156</v>
      </c>
      <c r="D136" s="9" t="s">
        <v>188</v>
      </c>
      <c r="E136" s="17">
        <v>6</v>
      </c>
      <c r="F136" s="23">
        <f t="shared" si="4"/>
        <v>0</v>
      </c>
      <c r="G136" s="9">
        <f>IFERROR(INDEX('Juice Fridge'!$F$2:$F$300,MATCH(A136,'Juice Fridge'!$A$2:$A$300,0)),0)</f>
        <v>0</v>
      </c>
      <c r="H136" s="9">
        <f>IFERROR(INDEX('Upper Keg'!$F$2:$F$300,MATCH(A136,'Upper Keg'!$A$2:$A$300,0)),0)</f>
        <v>0</v>
      </c>
      <c r="I136" s="9">
        <f>IFERROR(INDEX('Astral Bar'!$F$2:$F$300,MATCH(A136,'Astral Bar'!$A$2:$A$300,0)),0)</f>
        <v>0</v>
      </c>
      <c r="J136" s="9">
        <f>IFERROR(INDEX('GB1 Bar'!$F$2:$F$300,MATCH(A136,'GB1 Bar'!$A$2:$A$300,0)),0)</f>
        <v>0</v>
      </c>
      <c r="K136" s="9">
        <f>IFERROR(INDEX('GB2 Bar'!$F$2:$F$300,MATCH(A136,'GB2 Bar'!$A$2:$A$300,0)),0)</f>
        <v>0</v>
      </c>
      <c r="L136" s="9">
        <f>IFERROR(INDEX('CB1 Bar'!$F$2:$F$300,MATCH(A136,'CB1 Bar'!$A$2:$A$300,0)),0)</f>
        <v>0</v>
      </c>
      <c r="M136" s="9">
        <f>IFERROR(INDEX('CB2 Bar'!$F$2:$F$300,MATCH(A136,'CB2 Bar'!$A$2:$A$300,0)),0)</f>
        <v>0</v>
      </c>
      <c r="N136" s="9">
        <f>IFERROR(INDEX('CB3 Bar'!$F$2:$F$300,MATCH(A136,'CB3 Bar'!$A$2:$A$300,0)),0)</f>
        <v>0</v>
      </c>
      <c r="O136" s="9">
        <f>IFERROR(INDEX('Spirits Room'!$F$2:$F$300,MATCH(A136,'Spirits Room'!$A$2:$A$300,0)),0)</f>
        <v>0</v>
      </c>
      <c r="P136" s="9">
        <f>IFERROR(INDEX('White Wine Fridge'!$F$2:$F$300,MATCH(A136,'White Wine Fridge'!$A$2:$A$300,0)),0)</f>
        <v>0</v>
      </c>
      <c r="Q136" s="9">
        <f>IFERROR(INDEX('Lower Keg'!$F$2:$F$300,MATCH(A136,'Lower Keg'!$A$2:$A$300,0)),0)</f>
        <v>0</v>
      </c>
      <c r="R136" s="9">
        <f>IFERROR(INDEX('Botanical Storeroom'!$F$2:$F$300,MATCH(A136,'Botanical Storeroom'!$A$2:$A$300,0)),0)</f>
        <v>0</v>
      </c>
      <c r="S136" s="9">
        <f>IFERROR(INDEX('Botanical Bar'!$F$2:$F$300,MATCH(A136,'Botanical Bar'!$A$2:$A$300,0)),0)</f>
        <v>0</v>
      </c>
      <c r="T136" s="9">
        <f>IFERROR(INDEX('Loading Dock Fridge'!$F$2:$F$300,MATCH(A136,'Loading Dock Fridge'!$A$2:$A$300,0)),0)</f>
        <v>0</v>
      </c>
      <c r="U136" s="9">
        <f>IFERROR(INDEX('Postmix Loading Dock'!$F$2:$F$300,MATCH(A136,'Postmix Loading Dock'!$A$2:$A$300,0)),0)</f>
        <v>0</v>
      </c>
      <c r="V136" s="9">
        <f>IFERROR(INDEX('Postmix Lower Keg'!$F$2:$F$300,MATCH(A136,'Postmix Lower Keg'!$A$2:$A$300,0)),0)</f>
        <v>0</v>
      </c>
      <c r="W136" s="10">
        <f>IFERROR(INDEX('Postmix TWR'!$F$2:$F$300,MATCH(A136,'Postmix TWR'!$A$2:$A$300,0)),0)</f>
        <v>0</v>
      </c>
    </row>
    <row r="137" spans="1:23" x14ac:dyDescent="0.35">
      <c r="A137" s="8">
        <v>43490</v>
      </c>
      <c r="B137" s="9" t="s">
        <v>178</v>
      </c>
      <c r="C137" s="9" t="s">
        <v>156</v>
      </c>
      <c r="D137" s="9" t="s">
        <v>189</v>
      </c>
      <c r="E137" s="17">
        <v>6</v>
      </c>
      <c r="F137" s="23">
        <f t="shared" si="4"/>
        <v>0</v>
      </c>
      <c r="G137" s="9">
        <f>IFERROR(INDEX('Juice Fridge'!$F$2:$F$300,MATCH(A137,'Juice Fridge'!$A$2:$A$300,0)),0)</f>
        <v>0</v>
      </c>
      <c r="H137" s="9">
        <f>IFERROR(INDEX('Upper Keg'!$F$2:$F$300,MATCH(A137,'Upper Keg'!$A$2:$A$300,0)),0)</f>
        <v>0</v>
      </c>
      <c r="I137" s="9">
        <f>IFERROR(INDEX('Astral Bar'!$F$2:$F$300,MATCH(A137,'Astral Bar'!$A$2:$A$300,0)),0)</f>
        <v>0</v>
      </c>
      <c r="J137" s="9">
        <f>IFERROR(INDEX('GB1 Bar'!$F$2:$F$300,MATCH(A137,'GB1 Bar'!$A$2:$A$300,0)),0)</f>
        <v>0</v>
      </c>
      <c r="K137" s="9">
        <f>IFERROR(INDEX('GB2 Bar'!$F$2:$F$300,MATCH(A137,'GB2 Bar'!$A$2:$A$300,0)),0)</f>
        <v>0</v>
      </c>
      <c r="L137" s="9">
        <f>IFERROR(INDEX('CB1 Bar'!$F$2:$F$300,MATCH(A137,'CB1 Bar'!$A$2:$A$300,0)),0)</f>
        <v>0</v>
      </c>
      <c r="M137" s="9">
        <f>IFERROR(INDEX('CB2 Bar'!$F$2:$F$300,MATCH(A137,'CB2 Bar'!$A$2:$A$300,0)),0)</f>
        <v>0</v>
      </c>
      <c r="N137" s="9">
        <f>IFERROR(INDEX('CB3 Bar'!$F$2:$F$300,MATCH(A137,'CB3 Bar'!$A$2:$A$300,0)),0)</f>
        <v>0</v>
      </c>
      <c r="O137" s="9">
        <f>IFERROR(INDEX('Spirits Room'!$F$2:$F$300,MATCH(A137,'Spirits Room'!$A$2:$A$300,0)),0)</f>
        <v>0</v>
      </c>
      <c r="P137" s="9">
        <f>IFERROR(INDEX('White Wine Fridge'!$F$2:$F$300,MATCH(A137,'White Wine Fridge'!$A$2:$A$300,0)),0)</f>
        <v>0</v>
      </c>
      <c r="Q137" s="9">
        <f>IFERROR(INDEX('Lower Keg'!$F$2:$F$300,MATCH(A137,'Lower Keg'!$A$2:$A$300,0)),0)</f>
        <v>0</v>
      </c>
      <c r="R137" s="9">
        <f>IFERROR(INDEX('Botanical Storeroom'!$F$2:$F$300,MATCH(A137,'Botanical Storeroom'!$A$2:$A$300,0)),0)</f>
        <v>0</v>
      </c>
      <c r="S137" s="9">
        <f>IFERROR(INDEX('Botanical Bar'!$F$2:$F$300,MATCH(A137,'Botanical Bar'!$A$2:$A$300,0)),0)</f>
        <v>0</v>
      </c>
      <c r="T137" s="9">
        <f>IFERROR(INDEX('Loading Dock Fridge'!$F$2:$F$300,MATCH(A137,'Loading Dock Fridge'!$A$2:$A$300,0)),0)</f>
        <v>0</v>
      </c>
      <c r="U137" s="9">
        <f>IFERROR(INDEX('Postmix Loading Dock'!$F$2:$F$300,MATCH(A137,'Postmix Loading Dock'!$A$2:$A$300,0)),0)</f>
        <v>0</v>
      </c>
      <c r="V137" s="9">
        <f>IFERROR(INDEX('Postmix Lower Keg'!$F$2:$F$300,MATCH(A137,'Postmix Lower Keg'!$A$2:$A$300,0)),0)</f>
        <v>0</v>
      </c>
      <c r="W137" s="10">
        <f>IFERROR(INDEX('Postmix TWR'!$F$2:$F$300,MATCH(A137,'Postmix TWR'!$A$2:$A$300,0)),0)</f>
        <v>0</v>
      </c>
    </row>
    <row r="138" spans="1:23" x14ac:dyDescent="0.35">
      <c r="A138" s="8">
        <v>18100</v>
      </c>
      <c r="B138" s="9" t="s">
        <v>178</v>
      </c>
      <c r="C138" s="9" t="s">
        <v>156</v>
      </c>
      <c r="D138" s="9" t="s">
        <v>190</v>
      </c>
      <c r="E138" s="17">
        <v>6</v>
      </c>
      <c r="F138" s="23">
        <f t="shared" si="4"/>
        <v>0</v>
      </c>
      <c r="G138" s="9">
        <f>IFERROR(INDEX('Juice Fridge'!$F$2:$F$300,MATCH(A138,'Juice Fridge'!$A$2:$A$300,0)),0)</f>
        <v>0</v>
      </c>
      <c r="H138" s="9">
        <f>IFERROR(INDEX('Upper Keg'!$F$2:$F$300,MATCH(A138,'Upper Keg'!$A$2:$A$300,0)),0)</f>
        <v>0</v>
      </c>
      <c r="I138" s="9">
        <f>IFERROR(INDEX('Astral Bar'!$F$2:$F$300,MATCH(A138,'Astral Bar'!$A$2:$A$300,0)),0)</f>
        <v>0</v>
      </c>
      <c r="J138" s="9">
        <f>IFERROR(INDEX('GB1 Bar'!$F$2:$F$300,MATCH(A138,'GB1 Bar'!$A$2:$A$300,0)),0)</f>
        <v>0</v>
      </c>
      <c r="K138" s="9">
        <f>IFERROR(INDEX('GB2 Bar'!$F$2:$F$300,MATCH(A138,'GB2 Bar'!$A$2:$A$300,0)),0)</f>
        <v>0</v>
      </c>
      <c r="L138" s="9">
        <f>IFERROR(INDEX('CB1 Bar'!$F$2:$F$300,MATCH(A138,'CB1 Bar'!$A$2:$A$300,0)),0)</f>
        <v>0</v>
      </c>
      <c r="M138" s="9">
        <f>IFERROR(INDEX('CB2 Bar'!$F$2:$F$300,MATCH(A138,'CB2 Bar'!$A$2:$A$300,0)),0)</f>
        <v>0</v>
      </c>
      <c r="N138" s="9">
        <f>IFERROR(INDEX('CB3 Bar'!$F$2:$F$300,MATCH(A138,'CB3 Bar'!$A$2:$A$300,0)),0)</f>
        <v>0</v>
      </c>
      <c r="O138" s="9">
        <f>IFERROR(INDEX('Spirits Room'!$F$2:$F$300,MATCH(A138,'Spirits Room'!$A$2:$A$300,0)),0)</f>
        <v>0</v>
      </c>
      <c r="P138" s="9">
        <f>IFERROR(INDEX('White Wine Fridge'!$F$2:$F$300,MATCH(A138,'White Wine Fridge'!$A$2:$A$300,0)),0)</f>
        <v>0</v>
      </c>
      <c r="Q138" s="9">
        <f>IFERROR(INDEX('Lower Keg'!$F$2:$F$300,MATCH(A138,'Lower Keg'!$A$2:$A$300,0)),0)</f>
        <v>0</v>
      </c>
      <c r="R138" s="9">
        <f>IFERROR(INDEX('Botanical Storeroom'!$F$2:$F$300,MATCH(A138,'Botanical Storeroom'!$A$2:$A$300,0)),0)</f>
        <v>0</v>
      </c>
      <c r="S138" s="9">
        <f>IFERROR(INDEX('Botanical Bar'!$F$2:$F$300,MATCH(A138,'Botanical Bar'!$A$2:$A$300,0)),0)</f>
        <v>0</v>
      </c>
      <c r="T138" s="9">
        <f>IFERROR(INDEX('Loading Dock Fridge'!$F$2:$F$300,MATCH(A138,'Loading Dock Fridge'!$A$2:$A$300,0)),0)</f>
        <v>0</v>
      </c>
      <c r="U138" s="9">
        <f>IFERROR(INDEX('Postmix Loading Dock'!$F$2:$F$300,MATCH(A138,'Postmix Loading Dock'!$A$2:$A$300,0)),0)</f>
        <v>0</v>
      </c>
      <c r="V138" s="9">
        <f>IFERROR(INDEX('Postmix Lower Keg'!$F$2:$F$300,MATCH(A138,'Postmix Lower Keg'!$A$2:$A$300,0)),0)</f>
        <v>0</v>
      </c>
      <c r="W138" s="10">
        <f>IFERROR(INDEX('Postmix TWR'!$F$2:$F$300,MATCH(A138,'Postmix TWR'!$A$2:$A$300,0)),0)</f>
        <v>0</v>
      </c>
    </row>
    <row r="139" spans="1:23" x14ac:dyDescent="0.35">
      <c r="A139" s="8">
        <v>49768</v>
      </c>
      <c r="B139" s="9" t="s">
        <v>178</v>
      </c>
      <c r="C139" s="9" t="s">
        <v>156</v>
      </c>
      <c r="D139" s="9" t="s">
        <v>191</v>
      </c>
      <c r="E139" s="17">
        <v>6</v>
      </c>
      <c r="F139" s="23">
        <f t="shared" si="4"/>
        <v>0</v>
      </c>
      <c r="G139" s="9">
        <f>IFERROR(INDEX('Juice Fridge'!$F$2:$F$300,MATCH(A139,'Juice Fridge'!$A$2:$A$300,0)),0)</f>
        <v>0</v>
      </c>
      <c r="H139" s="9">
        <f>IFERROR(INDEX('Upper Keg'!$F$2:$F$300,MATCH(A139,'Upper Keg'!$A$2:$A$300,0)),0)</f>
        <v>0</v>
      </c>
      <c r="I139" s="9">
        <f>IFERROR(INDEX('Astral Bar'!$F$2:$F$300,MATCH(A139,'Astral Bar'!$A$2:$A$300,0)),0)</f>
        <v>0</v>
      </c>
      <c r="J139" s="9">
        <f>IFERROR(INDEX('GB1 Bar'!$F$2:$F$300,MATCH(A139,'GB1 Bar'!$A$2:$A$300,0)),0)</f>
        <v>0</v>
      </c>
      <c r="K139" s="9">
        <f>IFERROR(INDEX('GB2 Bar'!$F$2:$F$300,MATCH(A139,'GB2 Bar'!$A$2:$A$300,0)),0)</f>
        <v>0</v>
      </c>
      <c r="L139" s="9">
        <f>IFERROR(INDEX('CB1 Bar'!$F$2:$F$300,MATCH(A139,'CB1 Bar'!$A$2:$A$300,0)),0)</f>
        <v>0</v>
      </c>
      <c r="M139" s="9">
        <f>IFERROR(INDEX('CB2 Bar'!$F$2:$F$300,MATCH(A139,'CB2 Bar'!$A$2:$A$300,0)),0)</f>
        <v>0</v>
      </c>
      <c r="N139" s="9">
        <f>IFERROR(INDEX('CB3 Bar'!$F$2:$F$300,MATCH(A139,'CB3 Bar'!$A$2:$A$300,0)),0)</f>
        <v>0</v>
      </c>
      <c r="O139" s="9">
        <f>IFERROR(INDEX('Spirits Room'!$F$2:$F$300,MATCH(A139,'Spirits Room'!$A$2:$A$300,0)),0)</f>
        <v>0</v>
      </c>
      <c r="P139" s="9">
        <f>IFERROR(INDEX('White Wine Fridge'!$F$2:$F$300,MATCH(A139,'White Wine Fridge'!$A$2:$A$300,0)),0)</f>
        <v>0</v>
      </c>
      <c r="Q139" s="9">
        <f>IFERROR(INDEX('Lower Keg'!$F$2:$F$300,MATCH(A139,'Lower Keg'!$A$2:$A$300,0)),0)</f>
        <v>0</v>
      </c>
      <c r="R139" s="9">
        <f>IFERROR(INDEX('Botanical Storeroom'!$F$2:$F$300,MATCH(A139,'Botanical Storeroom'!$A$2:$A$300,0)),0)</f>
        <v>0</v>
      </c>
      <c r="S139" s="9">
        <f>IFERROR(INDEX('Botanical Bar'!$F$2:$F$300,MATCH(A139,'Botanical Bar'!$A$2:$A$300,0)),0)</f>
        <v>0</v>
      </c>
      <c r="T139" s="9">
        <f>IFERROR(INDEX('Loading Dock Fridge'!$F$2:$F$300,MATCH(A139,'Loading Dock Fridge'!$A$2:$A$300,0)),0)</f>
        <v>0</v>
      </c>
      <c r="U139" s="9">
        <f>IFERROR(INDEX('Postmix Loading Dock'!$F$2:$F$300,MATCH(A139,'Postmix Loading Dock'!$A$2:$A$300,0)),0)</f>
        <v>0</v>
      </c>
      <c r="V139" s="9">
        <f>IFERROR(INDEX('Postmix Lower Keg'!$F$2:$F$300,MATCH(A139,'Postmix Lower Keg'!$A$2:$A$300,0)),0)</f>
        <v>0</v>
      </c>
      <c r="W139" s="10">
        <f>IFERROR(INDEX('Postmix TWR'!$F$2:$F$300,MATCH(A139,'Postmix TWR'!$A$2:$A$300,0)),0)</f>
        <v>0</v>
      </c>
    </row>
    <row r="140" spans="1:23" x14ac:dyDescent="0.35">
      <c r="A140" s="8">
        <v>503</v>
      </c>
      <c r="B140" s="9" t="s">
        <v>178</v>
      </c>
      <c r="C140" s="9" t="s">
        <v>156</v>
      </c>
      <c r="D140" s="9" t="s">
        <v>192</v>
      </c>
      <c r="E140" s="17">
        <v>6</v>
      </c>
      <c r="F140" s="23">
        <f t="shared" si="4"/>
        <v>0</v>
      </c>
      <c r="G140" s="9">
        <f>IFERROR(INDEX('Juice Fridge'!$F$2:$F$300,MATCH(A140,'Juice Fridge'!$A$2:$A$300,0)),0)</f>
        <v>0</v>
      </c>
      <c r="H140" s="9">
        <f>IFERROR(INDEX('Upper Keg'!$F$2:$F$300,MATCH(A140,'Upper Keg'!$A$2:$A$300,0)),0)</f>
        <v>0</v>
      </c>
      <c r="I140" s="9">
        <f>IFERROR(INDEX('Astral Bar'!$F$2:$F$300,MATCH(A140,'Astral Bar'!$A$2:$A$300,0)),0)</f>
        <v>0</v>
      </c>
      <c r="J140" s="9">
        <f>IFERROR(INDEX('GB1 Bar'!$F$2:$F$300,MATCH(A140,'GB1 Bar'!$A$2:$A$300,0)),0)</f>
        <v>0</v>
      </c>
      <c r="K140" s="9">
        <f>IFERROR(INDEX('GB2 Bar'!$F$2:$F$300,MATCH(A140,'GB2 Bar'!$A$2:$A$300,0)),0)</f>
        <v>0</v>
      </c>
      <c r="L140" s="9">
        <f>IFERROR(INDEX('CB1 Bar'!$F$2:$F$300,MATCH(A140,'CB1 Bar'!$A$2:$A$300,0)),0)</f>
        <v>0</v>
      </c>
      <c r="M140" s="9">
        <f>IFERROR(INDEX('CB2 Bar'!$F$2:$F$300,MATCH(A140,'CB2 Bar'!$A$2:$A$300,0)),0)</f>
        <v>0</v>
      </c>
      <c r="N140" s="9">
        <f>IFERROR(INDEX('CB3 Bar'!$F$2:$F$300,MATCH(A140,'CB3 Bar'!$A$2:$A$300,0)),0)</f>
        <v>0</v>
      </c>
      <c r="O140" s="9">
        <f>IFERROR(INDEX('Spirits Room'!$F$2:$F$300,MATCH(A140,'Spirits Room'!$A$2:$A$300,0)),0)</f>
        <v>0</v>
      </c>
      <c r="P140" s="9">
        <f>IFERROR(INDEX('White Wine Fridge'!$F$2:$F$300,MATCH(A140,'White Wine Fridge'!$A$2:$A$300,0)),0)</f>
        <v>0</v>
      </c>
      <c r="Q140" s="9">
        <f>IFERROR(INDEX('Lower Keg'!$F$2:$F$300,MATCH(A140,'Lower Keg'!$A$2:$A$300,0)),0)</f>
        <v>0</v>
      </c>
      <c r="R140" s="9">
        <f>IFERROR(INDEX('Botanical Storeroom'!$F$2:$F$300,MATCH(A140,'Botanical Storeroom'!$A$2:$A$300,0)),0)</f>
        <v>0</v>
      </c>
      <c r="S140" s="9">
        <f>IFERROR(INDEX('Botanical Bar'!$F$2:$F$300,MATCH(A140,'Botanical Bar'!$A$2:$A$300,0)),0)</f>
        <v>0</v>
      </c>
      <c r="T140" s="9">
        <f>IFERROR(INDEX('Loading Dock Fridge'!$F$2:$F$300,MATCH(A140,'Loading Dock Fridge'!$A$2:$A$300,0)),0)</f>
        <v>0</v>
      </c>
      <c r="U140" s="9">
        <f>IFERROR(INDEX('Postmix Loading Dock'!$F$2:$F$300,MATCH(A140,'Postmix Loading Dock'!$A$2:$A$300,0)),0)</f>
        <v>0</v>
      </c>
      <c r="V140" s="9">
        <f>IFERROR(INDEX('Postmix Lower Keg'!$F$2:$F$300,MATCH(A140,'Postmix Lower Keg'!$A$2:$A$300,0)),0)</f>
        <v>0</v>
      </c>
      <c r="W140" s="10">
        <f>IFERROR(INDEX('Postmix TWR'!$F$2:$F$300,MATCH(A140,'Postmix TWR'!$A$2:$A$300,0)),0)</f>
        <v>0</v>
      </c>
    </row>
    <row r="141" spans="1:23" x14ac:dyDescent="0.35">
      <c r="A141" s="8">
        <v>18102</v>
      </c>
      <c r="B141" s="9" t="s">
        <v>178</v>
      </c>
      <c r="C141" s="9" t="s">
        <v>156</v>
      </c>
      <c r="D141" s="9" t="s">
        <v>193</v>
      </c>
      <c r="E141" s="17">
        <v>6</v>
      </c>
      <c r="F141" s="23">
        <f t="shared" si="4"/>
        <v>0</v>
      </c>
      <c r="G141" s="9">
        <f>IFERROR(INDEX('Juice Fridge'!$F$2:$F$300,MATCH(A141,'Juice Fridge'!$A$2:$A$300,0)),0)</f>
        <v>0</v>
      </c>
      <c r="H141" s="9">
        <f>IFERROR(INDEX('Upper Keg'!$F$2:$F$300,MATCH(A141,'Upper Keg'!$A$2:$A$300,0)),0)</f>
        <v>0</v>
      </c>
      <c r="I141" s="9">
        <f>IFERROR(INDEX('Astral Bar'!$F$2:$F$300,MATCH(A141,'Astral Bar'!$A$2:$A$300,0)),0)</f>
        <v>0</v>
      </c>
      <c r="J141" s="9">
        <f>IFERROR(INDEX('GB1 Bar'!$F$2:$F$300,MATCH(A141,'GB1 Bar'!$A$2:$A$300,0)),0)</f>
        <v>0</v>
      </c>
      <c r="K141" s="9">
        <f>IFERROR(INDEX('GB2 Bar'!$F$2:$F$300,MATCH(A141,'GB2 Bar'!$A$2:$A$300,0)),0)</f>
        <v>0</v>
      </c>
      <c r="L141" s="9">
        <f>IFERROR(INDEX('CB1 Bar'!$F$2:$F$300,MATCH(A141,'CB1 Bar'!$A$2:$A$300,0)),0)</f>
        <v>0</v>
      </c>
      <c r="M141" s="9">
        <f>IFERROR(INDEX('CB2 Bar'!$F$2:$F$300,MATCH(A141,'CB2 Bar'!$A$2:$A$300,0)),0)</f>
        <v>0</v>
      </c>
      <c r="N141" s="9">
        <f>IFERROR(INDEX('CB3 Bar'!$F$2:$F$300,MATCH(A141,'CB3 Bar'!$A$2:$A$300,0)),0)</f>
        <v>0</v>
      </c>
      <c r="O141" s="9">
        <f>IFERROR(INDEX('Spirits Room'!$F$2:$F$300,MATCH(A141,'Spirits Room'!$A$2:$A$300,0)),0)</f>
        <v>0</v>
      </c>
      <c r="P141" s="9">
        <f>IFERROR(INDEX('White Wine Fridge'!$F$2:$F$300,MATCH(A141,'White Wine Fridge'!$A$2:$A$300,0)),0)</f>
        <v>0</v>
      </c>
      <c r="Q141" s="9">
        <f>IFERROR(INDEX('Lower Keg'!$F$2:$F$300,MATCH(A141,'Lower Keg'!$A$2:$A$300,0)),0)</f>
        <v>0</v>
      </c>
      <c r="R141" s="9">
        <f>IFERROR(INDEX('Botanical Storeroom'!$F$2:$F$300,MATCH(A141,'Botanical Storeroom'!$A$2:$A$300,0)),0)</f>
        <v>0</v>
      </c>
      <c r="S141" s="9">
        <f>IFERROR(INDEX('Botanical Bar'!$F$2:$F$300,MATCH(A141,'Botanical Bar'!$A$2:$A$300,0)),0)</f>
        <v>0</v>
      </c>
      <c r="T141" s="9">
        <f>IFERROR(INDEX('Loading Dock Fridge'!$F$2:$F$300,MATCH(A141,'Loading Dock Fridge'!$A$2:$A$300,0)),0)</f>
        <v>0</v>
      </c>
      <c r="U141" s="9">
        <f>IFERROR(INDEX('Postmix Loading Dock'!$F$2:$F$300,MATCH(A141,'Postmix Loading Dock'!$A$2:$A$300,0)),0)</f>
        <v>0</v>
      </c>
      <c r="V141" s="9">
        <f>IFERROR(INDEX('Postmix Lower Keg'!$F$2:$F$300,MATCH(A141,'Postmix Lower Keg'!$A$2:$A$300,0)),0)</f>
        <v>0</v>
      </c>
      <c r="W141" s="10">
        <f>IFERROR(INDEX('Postmix TWR'!$F$2:$F$300,MATCH(A141,'Postmix TWR'!$A$2:$A$300,0)),0)</f>
        <v>0</v>
      </c>
    </row>
    <row r="142" spans="1:23" x14ac:dyDescent="0.35">
      <c r="A142" s="8">
        <v>22780</v>
      </c>
      <c r="B142" s="9" t="s">
        <v>194</v>
      </c>
      <c r="C142" s="9" t="s">
        <v>156</v>
      </c>
      <c r="D142" s="9" t="s">
        <v>195</v>
      </c>
      <c r="E142" s="17">
        <v>6</v>
      </c>
      <c r="F142" s="23">
        <f t="shared" si="4"/>
        <v>0</v>
      </c>
      <c r="G142" s="9">
        <f>IFERROR(INDEX('Juice Fridge'!$F$2:$F$300,MATCH(A142,'Juice Fridge'!$A$2:$A$300,0)),0)</f>
        <v>0</v>
      </c>
      <c r="H142" s="9">
        <f>IFERROR(INDEX('Upper Keg'!$F$2:$F$300,MATCH(A142,'Upper Keg'!$A$2:$A$300,0)),0)</f>
        <v>0</v>
      </c>
      <c r="I142" s="9">
        <f>IFERROR(INDEX('Astral Bar'!$F$2:$F$300,MATCH(A142,'Astral Bar'!$A$2:$A$300,0)),0)</f>
        <v>0</v>
      </c>
      <c r="J142" s="9">
        <f>IFERROR(INDEX('GB1 Bar'!$F$2:$F$300,MATCH(A142,'GB1 Bar'!$A$2:$A$300,0)),0)</f>
        <v>0</v>
      </c>
      <c r="K142" s="9">
        <f>IFERROR(INDEX('GB2 Bar'!$F$2:$F$300,MATCH(A142,'GB2 Bar'!$A$2:$A$300,0)),0)</f>
        <v>0</v>
      </c>
      <c r="L142" s="9">
        <f>IFERROR(INDEX('CB1 Bar'!$F$2:$F$300,MATCH(A142,'CB1 Bar'!$A$2:$A$300,0)),0)</f>
        <v>0</v>
      </c>
      <c r="M142" s="9">
        <f>IFERROR(INDEX('CB2 Bar'!$F$2:$F$300,MATCH(A142,'CB2 Bar'!$A$2:$A$300,0)),0)</f>
        <v>0</v>
      </c>
      <c r="N142" s="9">
        <f>IFERROR(INDEX('CB3 Bar'!$F$2:$F$300,MATCH(A142,'CB3 Bar'!$A$2:$A$300,0)),0)</f>
        <v>0</v>
      </c>
      <c r="O142" s="9">
        <f>IFERROR(INDEX('Spirits Room'!$F$2:$F$300,MATCH(A142,'Spirits Room'!$A$2:$A$300,0)),0)</f>
        <v>0</v>
      </c>
      <c r="P142" s="9">
        <f>IFERROR(INDEX('White Wine Fridge'!$F$2:$F$300,MATCH(A142,'White Wine Fridge'!$A$2:$A$300,0)),0)</f>
        <v>0</v>
      </c>
      <c r="Q142" s="9">
        <f>IFERROR(INDEX('Lower Keg'!$F$2:$F$300,MATCH(A142,'Lower Keg'!$A$2:$A$300,0)),0)</f>
        <v>0</v>
      </c>
      <c r="R142" s="9">
        <f>IFERROR(INDEX('Botanical Storeroom'!$F$2:$F$300,MATCH(A142,'Botanical Storeroom'!$A$2:$A$300,0)),0)</f>
        <v>0</v>
      </c>
      <c r="S142" s="9">
        <f>IFERROR(INDEX('Botanical Bar'!$F$2:$F$300,MATCH(A142,'Botanical Bar'!$A$2:$A$300,0)),0)</f>
        <v>0</v>
      </c>
      <c r="T142" s="9">
        <f>IFERROR(INDEX('Loading Dock Fridge'!$F$2:$F$300,MATCH(A142,'Loading Dock Fridge'!$A$2:$A$300,0)),0)</f>
        <v>0</v>
      </c>
      <c r="U142" s="9">
        <f>IFERROR(INDEX('Postmix Loading Dock'!$F$2:$F$300,MATCH(A142,'Postmix Loading Dock'!$A$2:$A$300,0)),0)</f>
        <v>0</v>
      </c>
      <c r="V142" s="9">
        <f>IFERROR(INDEX('Postmix Lower Keg'!$F$2:$F$300,MATCH(A142,'Postmix Lower Keg'!$A$2:$A$300,0)),0)</f>
        <v>0</v>
      </c>
      <c r="W142" s="10">
        <f>IFERROR(INDEX('Postmix TWR'!$F$2:$F$300,MATCH(A142,'Postmix TWR'!$A$2:$A$300,0)),0)</f>
        <v>0</v>
      </c>
    </row>
    <row r="143" spans="1:23" x14ac:dyDescent="0.35">
      <c r="A143" s="8">
        <v>22426</v>
      </c>
      <c r="B143" s="9" t="s">
        <v>196</v>
      </c>
      <c r="C143" s="9" t="s">
        <v>156</v>
      </c>
      <c r="D143" s="9" t="s">
        <v>197</v>
      </c>
      <c r="E143" s="17">
        <v>6</v>
      </c>
      <c r="F143" s="23">
        <f t="shared" si="4"/>
        <v>0</v>
      </c>
      <c r="G143" s="9">
        <f>IFERROR(INDEX('Juice Fridge'!$F$2:$F$300,MATCH(A143,'Juice Fridge'!$A$2:$A$300,0)),0)</f>
        <v>0</v>
      </c>
      <c r="H143" s="9">
        <f>IFERROR(INDEX('Upper Keg'!$F$2:$F$300,MATCH(A143,'Upper Keg'!$A$2:$A$300,0)),0)</f>
        <v>0</v>
      </c>
      <c r="I143" s="9">
        <f>IFERROR(INDEX('Astral Bar'!$F$2:$F$300,MATCH(A143,'Astral Bar'!$A$2:$A$300,0)),0)</f>
        <v>0</v>
      </c>
      <c r="J143" s="9">
        <f>IFERROR(INDEX('GB1 Bar'!$F$2:$F$300,MATCH(A143,'GB1 Bar'!$A$2:$A$300,0)),0)</f>
        <v>0</v>
      </c>
      <c r="K143" s="9">
        <f>IFERROR(INDEX('GB2 Bar'!$F$2:$F$300,MATCH(A143,'GB2 Bar'!$A$2:$A$300,0)),0)</f>
        <v>0</v>
      </c>
      <c r="L143" s="9">
        <f>IFERROR(INDEX('CB1 Bar'!$F$2:$F$300,MATCH(A143,'CB1 Bar'!$A$2:$A$300,0)),0)</f>
        <v>0</v>
      </c>
      <c r="M143" s="9">
        <f>IFERROR(INDEX('CB2 Bar'!$F$2:$F$300,MATCH(A143,'CB2 Bar'!$A$2:$A$300,0)),0)</f>
        <v>0</v>
      </c>
      <c r="N143" s="9">
        <f>IFERROR(INDEX('CB3 Bar'!$F$2:$F$300,MATCH(A143,'CB3 Bar'!$A$2:$A$300,0)),0)</f>
        <v>0</v>
      </c>
      <c r="O143" s="9">
        <f>IFERROR(INDEX('Spirits Room'!$F$2:$F$300,MATCH(A143,'Spirits Room'!$A$2:$A$300,0)),0)</f>
        <v>0</v>
      </c>
      <c r="P143" s="9">
        <f>IFERROR(INDEX('White Wine Fridge'!$F$2:$F$300,MATCH(A143,'White Wine Fridge'!$A$2:$A$300,0)),0)</f>
        <v>0</v>
      </c>
      <c r="Q143" s="9">
        <f>IFERROR(INDEX('Lower Keg'!$F$2:$F$300,MATCH(A143,'Lower Keg'!$A$2:$A$300,0)),0)</f>
        <v>0</v>
      </c>
      <c r="R143" s="9">
        <f>IFERROR(INDEX('Botanical Storeroom'!$F$2:$F$300,MATCH(A143,'Botanical Storeroom'!$A$2:$A$300,0)),0)</f>
        <v>0</v>
      </c>
      <c r="S143" s="9">
        <f>IFERROR(INDEX('Botanical Bar'!$F$2:$F$300,MATCH(A143,'Botanical Bar'!$A$2:$A$300,0)),0)</f>
        <v>0</v>
      </c>
      <c r="T143" s="9">
        <f>IFERROR(INDEX('Loading Dock Fridge'!$F$2:$F$300,MATCH(A143,'Loading Dock Fridge'!$A$2:$A$300,0)),0)</f>
        <v>0</v>
      </c>
      <c r="U143" s="9">
        <f>IFERROR(INDEX('Postmix Loading Dock'!$F$2:$F$300,MATCH(A143,'Postmix Loading Dock'!$A$2:$A$300,0)),0)</f>
        <v>0</v>
      </c>
      <c r="V143" s="9">
        <f>IFERROR(INDEX('Postmix Lower Keg'!$F$2:$F$300,MATCH(A143,'Postmix Lower Keg'!$A$2:$A$300,0)),0)</f>
        <v>0</v>
      </c>
      <c r="W143" s="10">
        <f>IFERROR(INDEX('Postmix TWR'!$F$2:$F$300,MATCH(A143,'Postmix TWR'!$A$2:$A$300,0)),0)</f>
        <v>0</v>
      </c>
    </row>
    <row r="144" spans="1:23" x14ac:dyDescent="0.35">
      <c r="A144" s="8">
        <v>33353</v>
      </c>
      <c r="B144" s="9" t="s">
        <v>198</v>
      </c>
      <c r="C144" s="9" t="s">
        <v>156</v>
      </c>
      <c r="D144" s="9" t="s">
        <v>199</v>
      </c>
      <c r="E144" s="17">
        <v>6</v>
      </c>
      <c r="F144" s="23">
        <f t="shared" si="4"/>
        <v>0</v>
      </c>
      <c r="G144" s="9">
        <f>IFERROR(INDEX('Juice Fridge'!$F$2:$F$300,MATCH(A144,'Juice Fridge'!$A$2:$A$300,0)),0)</f>
        <v>0</v>
      </c>
      <c r="H144" s="9">
        <f>IFERROR(INDEX('Upper Keg'!$F$2:$F$300,MATCH(A144,'Upper Keg'!$A$2:$A$300,0)),0)</f>
        <v>0</v>
      </c>
      <c r="I144" s="9">
        <f>IFERROR(INDEX('Astral Bar'!$F$2:$F$300,MATCH(A144,'Astral Bar'!$A$2:$A$300,0)),0)</f>
        <v>0</v>
      </c>
      <c r="J144" s="9">
        <f>IFERROR(INDEX('GB1 Bar'!$F$2:$F$300,MATCH(A144,'GB1 Bar'!$A$2:$A$300,0)),0)</f>
        <v>0</v>
      </c>
      <c r="K144" s="9">
        <f>IFERROR(INDEX('GB2 Bar'!$F$2:$F$300,MATCH(A144,'GB2 Bar'!$A$2:$A$300,0)),0)</f>
        <v>0</v>
      </c>
      <c r="L144" s="9">
        <f>IFERROR(INDEX('CB1 Bar'!$F$2:$F$300,MATCH(A144,'CB1 Bar'!$A$2:$A$300,0)),0)</f>
        <v>0</v>
      </c>
      <c r="M144" s="9">
        <f>IFERROR(INDEX('CB2 Bar'!$F$2:$F$300,MATCH(A144,'CB2 Bar'!$A$2:$A$300,0)),0)</f>
        <v>0</v>
      </c>
      <c r="N144" s="9">
        <f>IFERROR(INDEX('CB3 Bar'!$F$2:$F$300,MATCH(A144,'CB3 Bar'!$A$2:$A$300,0)),0)</f>
        <v>0</v>
      </c>
      <c r="O144" s="9">
        <f>IFERROR(INDEX('Spirits Room'!$F$2:$F$300,MATCH(A144,'Spirits Room'!$A$2:$A$300,0)),0)</f>
        <v>0</v>
      </c>
      <c r="P144" s="9">
        <f>IFERROR(INDEX('White Wine Fridge'!$F$2:$F$300,MATCH(A144,'White Wine Fridge'!$A$2:$A$300,0)),0)</f>
        <v>0</v>
      </c>
      <c r="Q144" s="9">
        <f>IFERROR(INDEX('Lower Keg'!$F$2:$F$300,MATCH(A144,'Lower Keg'!$A$2:$A$300,0)),0)</f>
        <v>0</v>
      </c>
      <c r="R144" s="9">
        <f>IFERROR(INDEX('Botanical Storeroom'!$F$2:$F$300,MATCH(A144,'Botanical Storeroom'!$A$2:$A$300,0)),0)</f>
        <v>0</v>
      </c>
      <c r="S144" s="9">
        <f>IFERROR(INDEX('Botanical Bar'!$F$2:$F$300,MATCH(A144,'Botanical Bar'!$A$2:$A$300,0)),0)</f>
        <v>0</v>
      </c>
      <c r="T144" s="9">
        <f>IFERROR(INDEX('Loading Dock Fridge'!$F$2:$F$300,MATCH(A144,'Loading Dock Fridge'!$A$2:$A$300,0)),0)</f>
        <v>0</v>
      </c>
      <c r="U144" s="9">
        <f>IFERROR(INDEX('Postmix Loading Dock'!$F$2:$F$300,MATCH(A144,'Postmix Loading Dock'!$A$2:$A$300,0)),0)</f>
        <v>0</v>
      </c>
      <c r="V144" s="9">
        <f>IFERROR(INDEX('Postmix Lower Keg'!$F$2:$F$300,MATCH(A144,'Postmix Lower Keg'!$A$2:$A$300,0)),0)</f>
        <v>0</v>
      </c>
      <c r="W144" s="10">
        <f>IFERROR(INDEX('Postmix TWR'!$F$2:$F$300,MATCH(A144,'Postmix TWR'!$A$2:$A$300,0)),0)</f>
        <v>0</v>
      </c>
    </row>
    <row r="145" spans="1:23" x14ac:dyDescent="0.35">
      <c r="A145" s="8">
        <v>18101</v>
      </c>
      <c r="B145" s="9" t="s">
        <v>198</v>
      </c>
      <c r="C145" s="9" t="s">
        <v>156</v>
      </c>
      <c r="D145" s="9" t="s">
        <v>200</v>
      </c>
      <c r="E145" s="17">
        <v>6</v>
      </c>
      <c r="F145" s="23">
        <f t="shared" si="4"/>
        <v>0</v>
      </c>
      <c r="G145" s="9">
        <f>IFERROR(INDEX('Juice Fridge'!$F$2:$F$300,MATCH(A145,'Juice Fridge'!$A$2:$A$300,0)),0)</f>
        <v>0</v>
      </c>
      <c r="H145" s="9">
        <f>IFERROR(INDEX('Upper Keg'!$F$2:$F$300,MATCH(A145,'Upper Keg'!$A$2:$A$300,0)),0)</f>
        <v>0</v>
      </c>
      <c r="I145" s="9">
        <f>IFERROR(INDEX('Astral Bar'!$F$2:$F$300,MATCH(A145,'Astral Bar'!$A$2:$A$300,0)),0)</f>
        <v>0</v>
      </c>
      <c r="J145" s="9">
        <f>IFERROR(INDEX('GB1 Bar'!$F$2:$F$300,MATCH(A145,'GB1 Bar'!$A$2:$A$300,0)),0)</f>
        <v>0</v>
      </c>
      <c r="K145" s="9">
        <f>IFERROR(INDEX('GB2 Bar'!$F$2:$F$300,MATCH(A145,'GB2 Bar'!$A$2:$A$300,0)),0)</f>
        <v>0</v>
      </c>
      <c r="L145" s="9">
        <f>IFERROR(INDEX('CB1 Bar'!$F$2:$F$300,MATCH(A145,'CB1 Bar'!$A$2:$A$300,0)),0)</f>
        <v>0</v>
      </c>
      <c r="M145" s="9">
        <f>IFERROR(INDEX('CB2 Bar'!$F$2:$F$300,MATCH(A145,'CB2 Bar'!$A$2:$A$300,0)),0)</f>
        <v>0</v>
      </c>
      <c r="N145" s="9">
        <f>IFERROR(INDEX('CB3 Bar'!$F$2:$F$300,MATCH(A145,'CB3 Bar'!$A$2:$A$300,0)),0)</f>
        <v>0</v>
      </c>
      <c r="O145" s="9">
        <f>IFERROR(INDEX('Spirits Room'!$F$2:$F$300,MATCH(A145,'Spirits Room'!$A$2:$A$300,0)),0)</f>
        <v>0</v>
      </c>
      <c r="P145" s="9">
        <f>IFERROR(INDEX('White Wine Fridge'!$F$2:$F$300,MATCH(A145,'White Wine Fridge'!$A$2:$A$300,0)),0)</f>
        <v>0</v>
      </c>
      <c r="Q145" s="9">
        <f>IFERROR(INDEX('Lower Keg'!$F$2:$F$300,MATCH(A145,'Lower Keg'!$A$2:$A$300,0)),0)</f>
        <v>0</v>
      </c>
      <c r="R145" s="9">
        <f>IFERROR(INDEX('Botanical Storeroom'!$F$2:$F$300,MATCH(A145,'Botanical Storeroom'!$A$2:$A$300,0)),0)</f>
        <v>0</v>
      </c>
      <c r="S145" s="9">
        <f>IFERROR(INDEX('Botanical Bar'!$F$2:$F$300,MATCH(A145,'Botanical Bar'!$A$2:$A$300,0)),0)</f>
        <v>0</v>
      </c>
      <c r="T145" s="9">
        <f>IFERROR(INDEX('Loading Dock Fridge'!$F$2:$F$300,MATCH(A145,'Loading Dock Fridge'!$A$2:$A$300,0)),0)</f>
        <v>0</v>
      </c>
      <c r="U145" s="9">
        <f>IFERROR(INDEX('Postmix Loading Dock'!$F$2:$F$300,MATCH(A145,'Postmix Loading Dock'!$A$2:$A$300,0)),0)</f>
        <v>0</v>
      </c>
      <c r="V145" s="9">
        <f>IFERROR(INDEX('Postmix Lower Keg'!$F$2:$F$300,MATCH(A145,'Postmix Lower Keg'!$A$2:$A$300,0)),0)</f>
        <v>0</v>
      </c>
      <c r="W145" s="10">
        <f>IFERROR(INDEX('Postmix TWR'!$F$2:$F$300,MATCH(A145,'Postmix TWR'!$A$2:$A$300,0)),0)</f>
        <v>0</v>
      </c>
    </row>
    <row r="146" spans="1:23" x14ac:dyDescent="0.35">
      <c r="A146" s="8">
        <v>16270</v>
      </c>
      <c r="B146" s="9" t="s">
        <v>198</v>
      </c>
      <c r="C146" s="9" t="s">
        <v>156</v>
      </c>
      <c r="D146" s="9" t="s">
        <v>201</v>
      </c>
      <c r="E146" s="17">
        <v>12</v>
      </c>
      <c r="F146" s="23">
        <f t="shared" si="4"/>
        <v>0</v>
      </c>
      <c r="G146" s="9">
        <f>IFERROR(INDEX('Juice Fridge'!$F$2:$F$300,MATCH(A146,'Juice Fridge'!$A$2:$A$300,0)),0)</f>
        <v>0</v>
      </c>
      <c r="H146" s="9">
        <f>IFERROR(INDEX('Upper Keg'!$F$2:$F$300,MATCH(A146,'Upper Keg'!$A$2:$A$300,0)),0)</f>
        <v>0</v>
      </c>
      <c r="I146" s="9">
        <f>IFERROR(INDEX('Astral Bar'!$F$2:$F$300,MATCH(A146,'Astral Bar'!$A$2:$A$300,0)),0)</f>
        <v>0</v>
      </c>
      <c r="J146" s="9">
        <f>IFERROR(INDEX('GB1 Bar'!$F$2:$F$300,MATCH(A146,'GB1 Bar'!$A$2:$A$300,0)),0)</f>
        <v>0</v>
      </c>
      <c r="K146" s="9">
        <f>IFERROR(INDEX('GB2 Bar'!$F$2:$F$300,MATCH(A146,'GB2 Bar'!$A$2:$A$300,0)),0)</f>
        <v>0</v>
      </c>
      <c r="L146" s="9">
        <f>IFERROR(INDEX('CB1 Bar'!$F$2:$F$300,MATCH(A146,'CB1 Bar'!$A$2:$A$300,0)),0)</f>
        <v>0</v>
      </c>
      <c r="M146" s="9">
        <f>IFERROR(INDEX('CB2 Bar'!$F$2:$F$300,MATCH(A146,'CB2 Bar'!$A$2:$A$300,0)),0)</f>
        <v>0</v>
      </c>
      <c r="N146" s="9">
        <f>IFERROR(INDEX('CB3 Bar'!$F$2:$F$300,MATCH(A146,'CB3 Bar'!$A$2:$A$300,0)),0)</f>
        <v>0</v>
      </c>
      <c r="O146" s="9">
        <f>IFERROR(INDEX('Spirits Room'!$F$2:$F$300,MATCH(A146,'Spirits Room'!$A$2:$A$300,0)),0)</f>
        <v>0</v>
      </c>
      <c r="P146" s="9">
        <f>IFERROR(INDEX('White Wine Fridge'!$F$2:$F$300,MATCH(A146,'White Wine Fridge'!$A$2:$A$300,0)),0)</f>
        <v>0</v>
      </c>
      <c r="Q146" s="9">
        <f>IFERROR(INDEX('Lower Keg'!$F$2:$F$300,MATCH(A146,'Lower Keg'!$A$2:$A$300,0)),0)</f>
        <v>0</v>
      </c>
      <c r="R146" s="9">
        <f>IFERROR(INDEX('Botanical Storeroom'!$F$2:$F$300,MATCH(A146,'Botanical Storeroom'!$A$2:$A$300,0)),0)</f>
        <v>0</v>
      </c>
      <c r="S146" s="9">
        <f>IFERROR(INDEX('Botanical Bar'!$F$2:$F$300,MATCH(A146,'Botanical Bar'!$A$2:$A$300,0)),0)</f>
        <v>0</v>
      </c>
      <c r="T146" s="9">
        <f>IFERROR(INDEX('Loading Dock Fridge'!$F$2:$F$300,MATCH(A146,'Loading Dock Fridge'!$A$2:$A$300,0)),0)</f>
        <v>0</v>
      </c>
      <c r="U146" s="9">
        <f>IFERROR(INDEX('Postmix Loading Dock'!$F$2:$F$300,MATCH(A146,'Postmix Loading Dock'!$A$2:$A$300,0)),0)</f>
        <v>0</v>
      </c>
      <c r="V146" s="9">
        <f>IFERROR(INDEX('Postmix Lower Keg'!$F$2:$F$300,MATCH(A146,'Postmix Lower Keg'!$A$2:$A$300,0)),0)</f>
        <v>0</v>
      </c>
      <c r="W146" s="10">
        <f>IFERROR(INDEX('Postmix TWR'!$F$2:$F$300,MATCH(A146,'Postmix TWR'!$A$2:$A$300,0)),0)</f>
        <v>0</v>
      </c>
    </row>
    <row r="147" spans="1:23" x14ac:dyDescent="0.35">
      <c r="A147" s="8">
        <v>399</v>
      </c>
      <c r="B147" s="9" t="s">
        <v>198</v>
      </c>
      <c r="C147" s="9" t="s">
        <v>156</v>
      </c>
      <c r="D147" s="9" t="s">
        <v>202</v>
      </c>
      <c r="E147" s="17">
        <v>6</v>
      </c>
      <c r="F147" s="23">
        <f t="shared" si="4"/>
        <v>0</v>
      </c>
      <c r="G147" s="9">
        <f>IFERROR(INDEX('Juice Fridge'!$F$2:$F$300,MATCH(A147,'Juice Fridge'!$A$2:$A$300,0)),0)</f>
        <v>0</v>
      </c>
      <c r="H147" s="9">
        <f>IFERROR(INDEX('Upper Keg'!$F$2:$F$300,MATCH(A147,'Upper Keg'!$A$2:$A$300,0)),0)</f>
        <v>0</v>
      </c>
      <c r="I147" s="9">
        <f>IFERROR(INDEX('Astral Bar'!$F$2:$F$300,MATCH(A147,'Astral Bar'!$A$2:$A$300,0)),0)</f>
        <v>0</v>
      </c>
      <c r="J147" s="9">
        <f>IFERROR(INDEX('GB1 Bar'!$F$2:$F$300,MATCH(A147,'GB1 Bar'!$A$2:$A$300,0)),0)</f>
        <v>0</v>
      </c>
      <c r="K147" s="9">
        <f>IFERROR(INDEX('GB2 Bar'!$F$2:$F$300,MATCH(A147,'GB2 Bar'!$A$2:$A$300,0)),0)</f>
        <v>0</v>
      </c>
      <c r="L147" s="9">
        <f>IFERROR(INDEX('CB1 Bar'!$F$2:$F$300,MATCH(A147,'CB1 Bar'!$A$2:$A$300,0)),0)</f>
        <v>0</v>
      </c>
      <c r="M147" s="9">
        <f>IFERROR(INDEX('CB2 Bar'!$F$2:$F$300,MATCH(A147,'CB2 Bar'!$A$2:$A$300,0)),0)</f>
        <v>0</v>
      </c>
      <c r="N147" s="9">
        <f>IFERROR(INDEX('CB3 Bar'!$F$2:$F$300,MATCH(A147,'CB3 Bar'!$A$2:$A$300,0)),0)</f>
        <v>0</v>
      </c>
      <c r="O147" s="9">
        <f>IFERROR(INDEX('Spirits Room'!$F$2:$F$300,MATCH(A147,'Spirits Room'!$A$2:$A$300,0)),0)</f>
        <v>0</v>
      </c>
      <c r="P147" s="9">
        <f>IFERROR(INDEX('White Wine Fridge'!$F$2:$F$300,MATCH(A147,'White Wine Fridge'!$A$2:$A$300,0)),0)</f>
        <v>0</v>
      </c>
      <c r="Q147" s="9">
        <f>IFERROR(INDEX('Lower Keg'!$F$2:$F$300,MATCH(A147,'Lower Keg'!$A$2:$A$300,0)),0)</f>
        <v>0</v>
      </c>
      <c r="R147" s="9">
        <f>IFERROR(INDEX('Botanical Storeroom'!$F$2:$F$300,MATCH(A147,'Botanical Storeroom'!$A$2:$A$300,0)),0)</f>
        <v>0</v>
      </c>
      <c r="S147" s="9">
        <f>IFERROR(INDEX('Botanical Bar'!$F$2:$F$300,MATCH(A147,'Botanical Bar'!$A$2:$A$300,0)),0)</f>
        <v>0</v>
      </c>
      <c r="T147" s="9">
        <f>IFERROR(INDEX('Loading Dock Fridge'!$F$2:$F$300,MATCH(A147,'Loading Dock Fridge'!$A$2:$A$300,0)),0)</f>
        <v>0</v>
      </c>
      <c r="U147" s="9">
        <f>IFERROR(INDEX('Postmix Loading Dock'!$F$2:$F$300,MATCH(A147,'Postmix Loading Dock'!$A$2:$A$300,0)),0)</f>
        <v>0</v>
      </c>
      <c r="V147" s="9">
        <f>IFERROR(INDEX('Postmix Lower Keg'!$F$2:$F$300,MATCH(A147,'Postmix Lower Keg'!$A$2:$A$300,0)),0)</f>
        <v>0</v>
      </c>
      <c r="W147" s="10">
        <f>IFERROR(INDEX('Postmix TWR'!$F$2:$F$300,MATCH(A147,'Postmix TWR'!$A$2:$A$300,0)),0)</f>
        <v>0</v>
      </c>
    </row>
    <row r="148" spans="1:23" x14ac:dyDescent="0.35">
      <c r="A148" s="8">
        <v>38167</v>
      </c>
      <c r="B148" s="9" t="s">
        <v>198</v>
      </c>
      <c r="C148" s="9" t="s">
        <v>156</v>
      </c>
      <c r="D148" s="9" t="s">
        <v>203</v>
      </c>
      <c r="E148" s="17">
        <v>6</v>
      </c>
      <c r="F148" s="23">
        <f t="shared" si="4"/>
        <v>0</v>
      </c>
      <c r="G148" s="9">
        <f>IFERROR(INDEX('Juice Fridge'!$F$2:$F$300,MATCH(A148,'Juice Fridge'!$A$2:$A$300,0)),0)</f>
        <v>0</v>
      </c>
      <c r="H148" s="9">
        <f>IFERROR(INDEX('Upper Keg'!$F$2:$F$300,MATCH(A148,'Upper Keg'!$A$2:$A$300,0)),0)</f>
        <v>0</v>
      </c>
      <c r="I148" s="9">
        <f>IFERROR(INDEX('Astral Bar'!$F$2:$F$300,MATCH(A148,'Astral Bar'!$A$2:$A$300,0)),0)</f>
        <v>0</v>
      </c>
      <c r="J148" s="9">
        <f>IFERROR(INDEX('GB1 Bar'!$F$2:$F$300,MATCH(A148,'GB1 Bar'!$A$2:$A$300,0)),0)</f>
        <v>0</v>
      </c>
      <c r="K148" s="9">
        <f>IFERROR(INDEX('GB2 Bar'!$F$2:$F$300,MATCH(A148,'GB2 Bar'!$A$2:$A$300,0)),0)</f>
        <v>0</v>
      </c>
      <c r="L148" s="9">
        <f>IFERROR(INDEX('CB1 Bar'!$F$2:$F$300,MATCH(A148,'CB1 Bar'!$A$2:$A$300,0)),0)</f>
        <v>0</v>
      </c>
      <c r="M148" s="9">
        <f>IFERROR(INDEX('CB2 Bar'!$F$2:$F$300,MATCH(A148,'CB2 Bar'!$A$2:$A$300,0)),0)</f>
        <v>0</v>
      </c>
      <c r="N148" s="9">
        <f>IFERROR(INDEX('CB3 Bar'!$F$2:$F$300,MATCH(A148,'CB3 Bar'!$A$2:$A$300,0)),0)</f>
        <v>0</v>
      </c>
      <c r="O148" s="9">
        <f>IFERROR(INDEX('Spirits Room'!$F$2:$F$300,MATCH(A148,'Spirits Room'!$A$2:$A$300,0)),0)</f>
        <v>0</v>
      </c>
      <c r="P148" s="9">
        <f>IFERROR(INDEX('White Wine Fridge'!$F$2:$F$300,MATCH(A148,'White Wine Fridge'!$A$2:$A$300,0)),0)</f>
        <v>0</v>
      </c>
      <c r="Q148" s="9">
        <f>IFERROR(INDEX('Lower Keg'!$F$2:$F$300,MATCH(A148,'Lower Keg'!$A$2:$A$300,0)),0)</f>
        <v>0</v>
      </c>
      <c r="R148" s="9">
        <f>IFERROR(INDEX('Botanical Storeroom'!$F$2:$F$300,MATCH(A148,'Botanical Storeroom'!$A$2:$A$300,0)),0)</f>
        <v>0</v>
      </c>
      <c r="S148" s="9">
        <f>IFERROR(INDEX('Botanical Bar'!$F$2:$F$300,MATCH(A148,'Botanical Bar'!$A$2:$A$300,0)),0)</f>
        <v>0</v>
      </c>
      <c r="T148" s="9">
        <f>IFERROR(INDEX('Loading Dock Fridge'!$F$2:$F$300,MATCH(A148,'Loading Dock Fridge'!$A$2:$A$300,0)),0)</f>
        <v>0</v>
      </c>
      <c r="U148" s="9">
        <f>IFERROR(INDEX('Postmix Loading Dock'!$F$2:$F$300,MATCH(A148,'Postmix Loading Dock'!$A$2:$A$300,0)),0)</f>
        <v>0</v>
      </c>
      <c r="V148" s="9">
        <f>IFERROR(INDEX('Postmix Lower Keg'!$F$2:$F$300,MATCH(A148,'Postmix Lower Keg'!$A$2:$A$300,0)),0)</f>
        <v>0</v>
      </c>
      <c r="W148" s="10">
        <f>IFERROR(INDEX('Postmix TWR'!$F$2:$F$300,MATCH(A148,'Postmix TWR'!$A$2:$A$300,0)),0)</f>
        <v>0</v>
      </c>
    </row>
    <row r="149" spans="1:23" x14ac:dyDescent="0.35">
      <c r="A149" s="8">
        <v>46286</v>
      </c>
      <c r="B149" s="9" t="s">
        <v>198</v>
      </c>
      <c r="C149" s="9" t="s">
        <v>156</v>
      </c>
      <c r="D149" s="9" t="s">
        <v>204</v>
      </c>
      <c r="E149" s="17">
        <v>6</v>
      </c>
      <c r="F149" s="23">
        <f t="shared" si="4"/>
        <v>0</v>
      </c>
      <c r="G149" s="9">
        <f>IFERROR(INDEX('Juice Fridge'!$F$2:$F$300,MATCH(A149,'Juice Fridge'!$A$2:$A$300,0)),0)</f>
        <v>0</v>
      </c>
      <c r="H149" s="9">
        <f>IFERROR(INDEX('Upper Keg'!$F$2:$F$300,MATCH(A149,'Upper Keg'!$A$2:$A$300,0)),0)</f>
        <v>0</v>
      </c>
      <c r="I149" s="9">
        <f>IFERROR(INDEX('Astral Bar'!$F$2:$F$300,MATCH(A149,'Astral Bar'!$A$2:$A$300,0)),0)</f>
        <v>0</v>
      </c>
      <c r="J149" s="9">
        <f>IFERROR(INDEX('GB1 Bar'!$F$2:$F$300,MATCH(A149,'GB1 Bar'!$A$2:$A$300,0)),0)</f>
        <v>0</v>
      </c>
      <c r="K149" s="9">
        <f>IFERROR(INDEX('GB2 Bar'!$F$2:$F$300,MATCH(A149,'GB2 Bar'!$A$2:$A$300,0)),0)</f>
        <v>0</v>
      </c>
      <c r="L149" s="9">
        <f>IFERROR(INDEX('CB1 Bar'!$F$2:$F$300,MATCH(A149,'CB1 Bar'!$A$2:$A$300,0)),0)</f>
        <v>0</v>
      </c>
      <c r="M149" s="9">
        <f>IFERROR(INDEX('CB2 Bar'!$F$2:$F$300,MATCH(A149,'CB2 Bar'!$A$2:$A$300,0)),0)</f>
        <v>0</v>
      </c>
      <c r="N149" s="9">
        <f>IFERROR(INDEX('CB3 Bar'!$F$2:$F$300,MATCH(A149,'CB3 Bar'!$A$2:$A$300,0)),0)</f>
        <v>0</v>
      </c>
      <c r="O149" s="9">
        <f>IFERROR(INDEX('Spirits Room'!$F$2:$F$300,MATCH(A149,'Spirits Room'!$A$2:$A$300,0)),0)</f>
        <v>0</v>
      </c>
      <c r="P149" s="9">
        <f>IFERROR(INDEX('White Wine Fridge'!$F$2:$F$300,MATCH(A149,'White Wine Fridge'!$A$2:$A$300,0)),0)</f>
        <v>0</v>
      </c>
      <c r="Q149" s="9">
        <f>IFERROR(INDEX('Lower Keg'!$F$2:$F$300,MATCH(A149,'Lower Keg'!$A$2:$A$300,0)),0)</f>
        <v>0</v>
      </c>
      <c r="R149" s="9">
        <f>IFERROR(INDEX('Botanical Storeroom'!$F$2:$F$300,MATCH(A149,'Botanical Storeroom'!$A$2:$A$300,0)),0)</f>
        <v>0</v>
      </c>
      <c r="S149" s="9">
        <f>IFERROR(INDEX('Botanical Bar'!$F$2:$F$300,MATCH(A149,'Botanical Bar'!$A$2:$A$300,0)),0)</f>
        <v>0</v>
      </c>
      <c r="T149" s="9">
        <f>IFERROR(INDEX('Loading Dock Fridge'!$F$2:$F$300,MATCH(A149,'Loading Dock Fridge'!$A$2:$A$300,0)),0)</f>
        <v>0</v>
      </c>
      <c r="U149" s="9">
        <f>IFERROR(INDEX('Postmix Loading Dock'!$F$2:$F$300,MATCH(A149,'Postmix Loading Dock'!$A$2:$A$300,0)),0)</f>
        <v>0</v>
      </c>
      <c r="V149" s="9">
        <f>IFERROR(INDEX('Postmix Lower Keg'!$F$2:$F$300,MATCH(A149,'Postmix Lower Keg'!$A$2:$A$300,0)),0)</f>
        <v>0</v>
      </c>
      <c r="W149" s="10">
        <f>IFERROR(INDEX('Postmix TWR'!$F$2:$F$300,MATCH(A149,'Postmix TWR'!$A$2:$A$300,0)),0)</f>
        <v>0</v>
      </c>
    </row>
    <row r="150" spans="1:23" x14ac:dyDescent="0.35">
      <c r="A150" s="8">
        <v>35071</v>
      </c>
      <c r="B150" s="9" t="s">
        <v>205</v>
      </c>
      <c r="C150" s="9" t="s">
        <v>156</v>
      </c>
      <c r="D150" s="9" t="s">
        <v>206</v>
      </c>
      <c r="E150" s="17">
        <v>6</v>
      </c>
      <c r="F150" s="23">
        <f t="shared" si="4"/>
        <v>0</v>
      </c>
      <c r="G150" s="9">
        <f>IFERROR(INDEX('Juice Fridge'!$F$2:$F$300,MATCH(A150,'Juice Fridge'!$A$2:$A$300,0)),0)</f>
        <v>0</v>
      </c>
      <c r="H150" s="9">
        <f>IFERROR(INDEX('Upper Keg'!$F$2:$F$300,MATCH(A150,'Upper Keg'!$A$2:$A$300,0)),0)</f>
        <v>0</v>
      </c>
      <c r="I150" s="9">
        <f>IFERROR(INDEX('Astral Bar'!$F$2:$F$300,MATCH(A150,'Astral Bar'!$A$2:$A$300,0)),0)</f>
        <v>0</v>
      </c>
      <c r="J150" s="9">
        <f>IFERROR(INDEX('GB1 Bar'!$F$2:$F$300,MATCH(A150,'GB1 Bar'!$A$2:$A$300,0)),0)</f>
        <v>0</v>
      </c>
      <c r="K150" s="9">
        <f>IFERROR(INDEX('GB2 Bar'!$F$2:$F$300,MATCH(A150,'GB2 Bar'!$A$2:$A$300,0)),0)</f>
        <v>0</v>
      </c>
      <c r="L150" s="9">
        <f>IFERROR(INDEX('CB1 Bar'!$F$2:$F$300,MATCH(A150,'CB1 Bar'!$A$2:$A$300,0)),0)</f>
        <v>0</v>
      </c>
      <c r="M150" s="9">
        <f>IFERROR(INDEX('CB2 Bar'!$F$2:$F$300,MATCH(A150,'CB2 Bar'!$A$2:$A$300,0)),0)</f>
        <v>0</v>
      </c>
      <c r="N150" s="9">
        <f>IFERROR(INDEX('CB3 Bar'!$F$2:$F$300,MATCH(A150,'CB3 Bar'!$A$2:$A$300,0)),0)</f>
        <v>0</v>
      </c>
      <c r="O150" s="9">
        <f>IFERROR(INDEX('Spirits Room'!$F$2:$F$300,MATCH(A150,'Spirits Room'!$A$2:$A$300,0)),0)</f>
        <v>0</v>
      </c>
      <c r="P150" s="9">
        <f>IFERROR(INDEX('White Wine Fridge'!$F$2:$F$300,MATCH(A150,'White Wine Fridge'!$A$2:$A$300,0)),0)</f>
        <v>0</v>
      </c>
      <c r="Q150" s="9">
        <f>IFERROR(INDEX('Lower Keg'!$F$2:$F$300,MATCH(A150,'Lower Keg'!$A$2:$A$300,0)),0)</f>
        <v>0</v>
      </c>
      <c r="R150" s="9">
        <f>IFERROR(INDEX('Botanical Storeroom'!$F$2:$F$300,MATCH(A150,'Botanical Storeroom'!$A$2:$A$300,0)),0)</f>
        <v>0</v>
      </c>
      <c r="S150" s="9">
        <f>IFERROR(INDEX('Botanical Bar'!$F$2:$F$300,MATCH(A150,'Botanical Bar'!$A$2:$A$300,0)),0)</f>
        <v>0</v>
      </c>
      <c r="T150" s="9">
        <f>IFERROR(INDEX('Loading Dock Fridge'!$F$2:$F$300,MATCH(A150,'Loading Dock Fridge'!$A$2:$A$300,0)),0)</f>
        <v>0</v>
      </c>
      <c r="U150" s="9">
        <f>IFERROR(INDEX('Postmix Loading Dock'!$F$2:$F$300,MATCH(A150,'Postmix Loading Dock'!$A$2:$A$300,0)),0)</f>
        <v>0</v>
      </c>
      <c r="V150" s="9">
        <f>IFERROR(INDEX('Postmix Lower Keg'!$F$2:$F$300,MATCH(A150,'Postmix Lower Keg'!$A$2:$A$300,0)),0)</f>
        <v>0</v>
      </c>
      <c r="W150" s="10">
        <f>IFERROR(INDEX('Postmix TWR'!$F$2:$F$300,MATCH(A150,'Postmix TWR'!$A$2:$A$300,0)),0)</f>
        <v>0</v>
      </c>
    </row>
    <row r="151" spans="1:23" x14ac:dyDescent="0.35">
      <c r="A151" s="8">
        <v>52397</v>
      </c>
      <c r="B151" s="9" t="s">
        <v>205</v>
      </c>
      <c r="C151" s="9" t="s">
        <v>156</v>
      </c>
      <c r="D151" s="9" t="s">
        <v>207</v>
      </c>
      <c r="E151" s="17">
        <v>6</v>
      </c>
      <c r="F151" s="23">
        <f t="shared" si="4"/>
        <v>0</v>
      </c>
      <c r="G151" s="9">
        <f>IFERROR(INDEX('Juice Fridge'!$F$2:$F$300,MATCH(A151,'Juice Fridge'!$A$2:$A$300,0)),0)</f>
        <v>0</v>
      </c>
      <c r="H151" s="9">
        <f>IFERROR(INDEX('Upper Keg'!$F$2:$F$300,MATCH(A151,'Upper Keg'!$A$2:$A$300,0)),0)</f>
        <v>0</v>
      </c>
      <c r="I151" s="9">
        <f>IFERROR(INDEX('Astral Bar'!$F$2:$F$300,MATCH(A151,'Astral Bar'!$A$2:$A$300,0)),0)</f>
        <v>0</v>
      </c>
      <c r="J151" s="9">
        <f>IFERROR(INDEX('GB1 Bar'!$F$2:$F$300,MATCH(A151,'GB1 Bar'!$A$2:$A$300,0)),0)</f>
        <v>0</v>
      </c>
      <c r="K151" s="9">
        <f>IFERROR(INDEX('GB2 Bar'!$F$2:$F$300,MATCH(A151,'GB2 Bar'!$A$2:$A$300,0)),0)</f>
        <v>0</v>
      </c>
      <c r="L151" s="9">
        <f>IFERROR(INDEX('CB1 Bar'!$F$2:$F$300,MATCH(A151,'CB1 Bar'!$A$2:$A$300,0)),0)</f>
        <v>0</v>
      </c>
      <c r="M151" s="9">
        <f>IFERROR(INDEX('CB2 Bar'!$F$2:$F$300,MATCH(A151,'CB2 Bar'!$A$2:$A$300,0)),0)</f>
        <v>0</v>
      </c>
      <c r="N151" s="9">
        <f>IFERROR(INDEX('CB3 Bar'!$F$2:$F$300,MATCH(A151,'CB3 Bar'!$A$2:$A$300,0)),0)</f>
        <v>0</v>
      </c>
      <c r="O151" s="9">
        <f>IFERROR(INDEX('Spirits Room'!$F$2:$F$300,MATCH(A151,'Spirits Room'!$A$2:$A$300,0)),0)</f>
        <v>0</v>
      </c>
      <c r="P151" s="9">
        <f>IFERROR(INDEX('White Wine Fridge'!$F$2:$F$300,MATCH(A151,'White Wine Fridge'!$A$2:$A$300,0)),0)</f>
        <v>0</v>
      </c>
      <c r="Q151" s="9">
        <f>IFERROR(INDEX('Lower Keg'!$F$2:$F$300,MATCH(A151,'Lower Keg'!$A$2:$A$300,0)),0)</f>
        <v>0</v>
      </c>
      <c r="R151" s="9">
        <f>IFERROR(INDEX('Botanical Storeroom'!$F$2:$F$300,MATCH(A151,'Botanical Storeroom'!$A$2:$A$300,0)),0)</f>
        <v>0</v>
      </c>
      <c r="S151" s="9">
        <f>IFERROR(INDEX('Botanical Bar'!$F$2:$F$300,MATCH(A151,'Botanical Bar'!$A$2:$A$300,0)),0)</f>
        <v>0</v>
      </c>
      <c r="T151" s="9">
        <f>IFERROR(INDEX('Loading Dock Fridge'!$F$2:$F$300,MATCH(A151,'Loading Dock Fridge'!$A$2:$A$300,0)),0)</f>
        <v>0</v>
      </c>
      <c r="U151" s="9">
        <f>IFERROR(INDEX('Postmix Loading Dock'!$F$2:$F$300,MATCH(A151,'Postmix Loading Dock'!$A$2:$A$300,0)),0)</f>
        <v>0</v>
      </c>
      <c r="V151" s="9">
        <f>IFERROR(INDEX('Postmix Lower Keg'!$F$2:$F$300,MATCH(A151,'Postmix Lower Keg'!$A$2:$A$300,0)),0)</f>
        <v>0</v>
      </c>
      <c r="W151" s="10">
        <f>IFERROR(INDEX('Postmix TWR'!$F$2:$F$300,MATCH(A151,'Postmix TWR'!$A$2:$A$300,0)),0)</f>
        <v>0</v>
      </c>
    </row>
    <row r="152" spans="1:23" x14ac:dyDescent="0.35">
      <c r="A152" s="8">
        <v>41789</v>
      </c>
      <c r="B152" s="9" t="s">
        <v>205</v>
      </c>
      <c r="C152" s="9" t="s">
        <v>156</v>
      </c>
      <c r="D152" s="9" t="s">
        <v>208</v>
      </c>
      <c r="E152" s="17">
        <v>6</v>
      </c>
      <c r="F152" s="23">
        <f t="shared" si="4"/>
        <v>0</v>
      </c>
      <c r="G152" s="9">
        <f>IFERROR(INDEX('Juice Fridge'!$F$2:$F$300,MATCH(A152,'Juice Fridge'!$A$2:$A$300,0)),0)</f>
        <v>0</v>
      </c>
      <c r="H152" s="9">
        <f>IFERROR(INDEX('Upper Keg'!$F$2:$F$300,MATCH(A152,'Upper Keg'!$A$2:$A$300,0)),0)</f>
        <v>0</v>
      </c>
      <c r="I152" s="9">
        <f>IFERROR(INDEX('Astral Bar'!$F$2:$F$300,MATCH(A152,'Astral Bar'!$A$2:$A$300,0)),0)</f>
        <v>0</v>
      </c>
      <c r="J152" s="9">
        <f>IFERROR(INDEX('GB1 Bar'!$F$2:$F$300,MATCH(A152,'GB1 Bar'!$A$2:$A$300,0)),0)</f>
        <v>0</v>
      </c>
      <c r="K152" s="9">
        <f>IFERROR(INDEX('GB2 Bar'!$F$2:$F$300,MATCH(A152,'GB2 Bar'!$A$2:$A$300,0)),0)</f>
        <v>0</v>
      </c>
      <c r="L152" s="9">
        <f>IFERROR(INDEX('CB1 Bar'!$F$2:$F$300,MATCH(A152,'CB1 Bar'!$A$2:$A$300,0)),0)</f>
        <v>0</v>
      </c>
      <c r="M152" s="9">
        <f>IFERROR(INDEX('CB2 Bar'!$F$2:$F$300,MATCH(A152,'CB2 Bar'!$A$2:$A$300,0)),0)</f>
        <v>0</v>
      </c>
      <c r="N152" s="9">
        <f>IFERROR(INDEX('CB3 Bar'!$F$2:$F$300,MATCH(A152,'CB3 Bar'!$A$2:$A$300,0)),0)</f>
        <v>0</v>
      </c>
      <c r="O152" s="9">
        <f>IFERROR(INDEX('Spirits Room'!$F$2:$F$300,MATCH(A152,'Spirits Room'!$A$2:$A$300,0)),0)</f>
        <v>0</v>
      </c>
      <c r="P152" s="9">
        <f>IFERROR(INDEX('White Wine Fridge'!$F$2:$F$300,MATCH(A152,'White Wine Fridge'!$A$2:$A$300,0)),0)</f>
        <v>0</v>
      </c>
      <c r="Q152" s="9">
        <f>IFERROR(INDEX('Lower Keg'!$F$2:$F$300,MATCH(A152,'Lower Keg'!$A$2:$A$300,0)),0)</f>
        <v>0</v>
      </c>
      <c r="R152" s="9">
        <f>IFERROR(INDEX('Botanical Storeroom'!$F$2:$F$300,MATCH(A152,'Botanical Storeroom'!$A$2:$A$300,0)),0)</f>
        <v>0</v>
      </c>
      <c r="S152" s="9">
        <f>IFERROR(INDEX('Botanical Bar'!$F$2:$F$300,MATCH(A152,'Botanical Bar'!$A$2:$A$300,0)),0)</f>
        <v>0</v>
      </c>
      <c r="T152" s="9">
        <f>IFERROR(INDEX('Loading Dock Fridge'!$F$2:$F$300,MATCH(A152,'Loading Dock Fridge'!$A$2:$A$300,0)),0)</f>
        <v>0</v>
      </c>
      <c r="U152" s="9">
        <f>IFERROR(INDEX('Postmix Loading Dock'!$F$2:$F$300,MATCH(A152,'Postmix Loading Dock'!$A$2:$A$300,0)),0)</f>
        <v>0</v>
      </c>
      <c r="V152" s="9">
        <f>IFERROR(INDEX('Postmix Lower Keg'!$F$2:$F$300,MATCH(A152,'Postmix Lower Keg'!$A$2:$A$300,0)),0)</f>
        <v>0</v>
      </c>
      <c r="W152" s="10">
        <f>IFERROR(INDEX('Postmix TWR'!$F$2:$F$300,MATCH(A152,'Postmix TWR'!$A$2:$A$300,0)),0)</f>
        <v>0</v>
      </c>
    </row>
    <row r="153" spans="1:23" x14ac:dyDescent="0.35">
      <c r="A153" s="8">
        <v>32398</v>
      </c>
      <c r="B153" s="9" t="s">
        <v>205</v>
      </c>
      <c r="C153" s="9" t="s">
        <v>156</v>
      </c>
      <c r="D153" s="9" t="s">
        <v>209</v>
      </c>
      <c r="E153" s="17">
        <v>12</v>
      </c>
      <c r="F153" s="23">
        <f t="shared" si="4"/>
        <v>0</v>
      </c>
      <c r="G153" s="9">
        <f>IFERROR(INDEX('Juice Fridge'!$F$2:$F$300,MATCH(A153,'Juice Fridge'!$A$2:$A$300,0)),0)</f>
        <v>0</v>
      </c>
      <c r="H153" s="9">
        <f>IFERROR(INDEX('Upper Keg'!$F$2:$F$300,MATCH(A153,'Upper Keg'!$A$2:$A$300,0)),0)</f>
        <v>0</v>
      </c>
      <c r="I153" s="9">
        <f>IFERROR(INDEX('Astral Bar'!$F$2:$F$300,MATCH(A153,'Astral Bar'!$A$2:$A$300,0)),0)</f>
        <v>0</v>
      </c>
      <c r="J153" s="9">
        <f>IFERROR(INDEX('GB1 Bar'!$F$2:$F$300,MATCH(A153,'GB1 Bar'!$A$2:$A$300,0)),0)</f>
        <v>0</v>
      </c>
      <c r="K153" s="9">
        <f>IFERROR(INDEX('GB2 Bar'!$F$2:$F$300,MATCH(A153,'GB2 Bar'!$A$2:$A$300,0)),0)</f>
        <v>0</v>
      </c>
      <c r="L153" s="9">
        <f>IFERROR(INDEX('CB1 Bar'!$F$2:$F$300,MATCH(A153,'CB1 Bar'!$A$2:$A$300,0)),0)</f>
        <v>0</v>
      </c>
      <c r="M153" s="9">
        <f>IFERROR(INDEX('CB2 Bar'!$F$2:$F$300,MATCH(A153,'CB2 Bar'!$A$2:$A$300,0)),0)</f>
        <v>0</v>
      </c>
      <c r="N153" s="9">
        <f>IFERROR(INDEX('CB3 Bar'!$F$2:$F$300,MATCH(A153,'CB3 Bar'!$A$2:$A$300,0)),0)</f>
        <v>0</v>
      </c>
      <c r="O153" s="9">
        <f>IFERROR(INDEX('Spirits Room'!$F$2:$F$300,MATCH(A153,'Spirits Room'!$A$2:$A$300,0)),0)</f>
        <v>0</v>
      </c>
      <c r="P153" s="9">
        <f>IFERROR(INDEX('White Wine Fridge'!$F$2:$F$300,MATCH(A153,'White Wine Fridge'!$A$2:$A$300,0)),0)</f>
        <v>0</v>
      </c>
      <c r="Q153" s="9">
        <f>IFERROR(INDEX('Lower Keg'!$F$2:$F$300,MATCH(A153,'Lower Keg'!$A$2:$A$300,0)),0)</f>
        <v>0</v>
      </c>
      <c r="R153" s="9">
        <f>IFERROR(INDEX('Botanical Storeroom'!$F$2:$F$300,MATCH(A153,'Botanical Storeroom'!$A$2:$A$300,0)),0)</f>
        <v>0</v>
      </c>
      <c r="S153" s="9">
        <f>IFERROR(INDEX('Botanical Bar'!$F$2:$F$300,MATCH(A153,'Botanical Bar'!$A$2:$A$300,0)),0)</f>
        <v>0</v>
      </c>
      <c r="T153" s="9">
        <f>IFERROR(INDEX('Loading Dock Fridge'!$F$2:$F$300,MATCH(A153,'Loading Dock Fridge'!$A$2:$A$300,0)),0)</f>
        <v>0</v>
      </c>
      <c r="U153" s="9">
        <f>IFERROR(INDEX('Postmix Loading Dock'!$F$2:$F$300,MATCH(A153,'Postmix Loading Dock'!$A$2:$A$300,0)),0)</f>
        <v>0</v>
      </c>
      <c r="V153" s="9">
        <f>IFERROR(INDEX('Postmix Lower Keg'!$F$2:$F$300,MATCH(A153,'Postmix Lower Keg'!$A$2:$A$300,0)),0)</f>
        <v>0</v>
      </c>
      <c r="W153" s="10">
        <f>IFERROR(INDEX('Postmix TWR'!$F$2:$F$300,MATCH(A153,'Postmix TWR'!$A$2:$A$300,0)),0)</f>
        <v>0</v>
      </c>
    </row>
    <row r="154" spans="1:23" x14ac:dyDescent="0.35">
      <c r="A154" s="8">
        <v>32094</v>
      </c>
      <c r="B154" s="9" t="s">
        <v>210</v>
      </c>
      <c r="C154" s="9" t="s">
        <v>156</v>
      </c>
      <c r="D154" s="9" t="s">
        <v>211</v>
      </c>
      <c r="E154" s="17">
        <v>6</v>
      </c>
      <c r="F154" s="23">
        <f t="shared" si="4"/>
        <v>0</v>
      </c>
      <c r="G154" s="9">
        <f>IFERROR(INDEX('Juice Fridge'!$F$2:$F$300,MATCH(A154,'Juice Fridge'!$A$2:$A$300,0)),0)</f>
        <v>0</v>
      </c>
      <c r="H154" s="9">
        <f>IFERROR(INDEX('Upper Keg'!$F$2:$F$300,MATCH(A154,'Upper Keg'!$A$2:$A$300,0)),0)</f>
        <v>0</v>
      </c>
      <c r="I154" s="9">
        <f>IFERROR(INDEX('Astral Bar'!$F$2:$F$300,MATCH(A154,'Astral Bar'!$A$2:$A$300,0)),0)</f>
        <v>0</v>
      </c>
      <c r="J154" s="9">
        <f>IFERROR(INDEX('GB1 Bar'!$F$2:$F$300,MATCH(A154,'GB1 Bar'!$A$2:$A$300,0)),0)</f>
        <v>0</v>
      </c>
      <c r="K154" s="9">
        <f>IFERROR(INDEX('GB2 Bar'!$F$2:$F$300,MATCH(A154,'GB2 Bar'!$A$2:$A$300,0)),0)</f>
        <v>0</v>
      </c>
      <c r="L154" s="9">
        <f>IFERROR(INDEX('CB1 Bar'!$F$2:$F$300,MATCH(A154,'CB1 Bar'!$A$2:$A$300,0)),0)</f>
        <v>0</v>
      </c>
      <c r="M154" s="9">
        <f>IFERROR(INDEX('CB2 Bar'!$F$2:$F$300,MATCH(A154,'CB2 Bar'!$A$2:$A$300,0)),0)</f>
        <v>0</v>
      </c>
      <c r="N154" s="9">
        <f>IFERROR(INDEX('CB3 Bar'!$F$2:$F$300,MATCH(A154,'CB3 Bar'!$A$2:$A$300,0)),0)</f>
        <v>0</v>
      </c>
      <c r="O154" s="9">
        <f>IFERROR(INDEX('Spirits Room'!$F$2:$F$300,MATCH(A154,'Spirits Room'!$A$2:$A$300,0)),0)</f>
        <v>0</v>
      </c>
      <c r="P154" s="9">
        <f>IFERROR(INDEX('White Wine Fridge'!$F$2:$F$300,MATCH(A154,'White Wine Fridge'!$A$2:$A$300,0)),0)</f>
        <v>0</v>
      </c>
      <c r="Q154" s="9">
        <f>IFERROR(INDEX('Lower Keg'!$F$2:$F$300,MATCH(A154,'Lower Keg'!$A$2:$A$300,0)),0)</f>
        <v>0</v>
      </c>
      <c r="R154" s="9">
        <f>IFERROR(INDEX('Botanical Storeroom'!$F$2:$F$300,MATCH(A154,'Botanical Storeroom'!$A$2:$A$300,0)),0)</f>
        <v>0</v>
      </c>
      <c r="S154" s="9">
        <f>IFERROR(INDEX('Botanical Bar'!$F$2:$F$300,MATCH(A154,'Botanical Bar'!$A$2:$A$300,0)),0)</f>
        <v>0</v>
      </c>
      <c r="T154" s="9">
        <f>IFERROR(INDEX('Loading Dock Fridge'!$F$2:$F$300,MATCH(A154,'Loading Dock Fridge'!$A$2:$A$300,0)),0)</f>
        <v>0</v>
      </c>
      <c r="U154" s="9">
        <f>IFERROR(INDEX('Postmix Loading Dock'!$F$2:$F$300,MATCH(A154,'Postmix Loading Dock'!$A$2:$A$300,0)),0)</f>
        <v>0</v>
      </c>
      <c r="V154" s="9">
        <f>IFERROR(INDEX('Postmix Lower Keg'!$F$2:$F$300,MATCH(A154,'Postmix Lower Keg'!$A$2:$A$300,0)),0)</f>
        <v>0</v>
      </c>
      <c r="W154" s="10">
        <f>IFERROR(INDEX('Postmix TWR'!$F$2:$F$300,MATCH(A154,'Postmix TWR'!$A$2:$A$300,0)),0)</f>
        <v>0</v>
      </c>
    </row>
    <row r="155" spans="1:23" x14ac:dyDescent="0.35">
      <c r="A155" s="8">
        <v>22901</v>
      </c>
      <c r="B155" s="9" t="s">
        <v>210</v>
      </c>
      <c r="C155" s="9" t="s">
        <v>156</v>
      </c>
      <c r="D155" s="9" t="s">
        <v>212</v>
      </c>
      <c r="E155" s="17">
        <v>6</v>
      </c>
      <c r="F155" s="23">
        <f t="shared" si="4"/>
        <v>0</v>
      </c>
      <c r="G155" s="9">
        <f>IFERROR(INDEX('Juice Fridge'!$F$2:$F$300,MATCH(A155,'Juice Fridge'!$A$2:$A$300,0)),0)</f>
        <v>0</v>
      </c>
      <c r="H155" s="9">
        <f>IFERROR(INDEX('Upper Keg'!$F$2:$F$300,MATCH(A155,'Upper Keg'!$A$2:$A$300,0)),0)</f>
        <v>0</v>
      </c>
      <c r="I155" s="9">
        <f>IFERROR(INDEX('Astral Bar'!$F$2:$F$300,MATCH(A155,'Astral Bar'!$A$2:$A$300,0)),0)</f>
        <v>0</v>
      </c>
      <c r="J155" s="9">
        <f>IFERROR(INDEX('GB1 Bar'!$F$2:$F$300,MATCH(A155,'GB1 Bar'!$A$2:$A$300,0)),0)</f>
        <v>0</v>
      </c>
      <c r="K155" s="9">
        <f>IFERROR(INDEX('GB2 Bar'!$F$2:$F$300,MATCH(A155,'GB2 Bar'!$A$2:$A$300,0)),0)</f>
        <v>0</v>
      </c>
      <c r="L155" s="9">
        <f>IFERROR(INDEX('CB1 Bar'!$F$2:$F$300,MATCH(A155,'CB1 Bar'!$A$2:$A$300,0)),0)</f>
        <v>0</v>
      </c>
      <c r="M155" s="9">
        <f>IFERROR(INDEX('CB2 Bar'!$F$2:$F$300,MATCH(A155,'CB2 Bar'!$A$2:$A$300,0)),0)</f>
        <v>0</v>
      </c>
      <c r="N155" s="9">
        <f>IFERROR(INDEX('CB3 Bar'!$F$2:$F$300,MATCH(A155,'CB3 Bar'!$A$2:$A$300,0)),0)</f>
        <v>0</v>
      </c>
      <c r="O155" s="9">
        <f>IFERROR(INDEX('Spirits Room'!$F$2:$F$300,MATCH(A155,'Spirits Room'!$A$2:$A$300,0)),0)</f>
        <v>0</v>
      </c>
      <c r="P155" s="9">
        <f>IFERROR(INDEX('White Wine Fridge'!$F$2:$F$300,MATCH(A155,'White Wine Fridge'!$A$2:$A$300,0)),0)</f>
        <v>0</v>
      </c>
      <c r="Q155" s="9">
        <f>IFERROR(INDEX('Lower Keg'!$F$2:$F$300,MATCH(A155,'Lower Keg'!$A$2:$A$300,0)),0)</f>
        <v>0</v>
      </c>
      <c r="R155" s="9">
        <f>IFERROR(INDEX('Botanical Storeroom'!$F$2:$F$300,MATCH(A155,'Botanical Storeroom'!$A$2:$A$300,0)),0)</f>
        <v>0</v>
      </c>
      <c r="S155" s="9">
        <f>IFERROR(INDEX('Botanical Bar'!$F$2:$F$300,MATCH(A155,'Botanical Bar'!$A$2:$A$300,0)),0)</f>
        <v>0</v>
      </c>
      <c r="T155" s="9">
        <f>IFERROR(INDEX('Loading Dock Fridge'!$F$2:$F$300,MATCH(A155,'Loading Dock Fridge'!$A$2:$A$300,0)),0)</f>
        <v>0</v>
      </c>
      <c r="U155" s="9">
        <f>IFERROR(INDEX('Postmix Loading Dock'!$F$2:$F$300,MATCH(A155,'Postmix Loading Dock'!$A$2:$A$300,0)),0)</f>
        <v>0</v>
      </c>
      <c r="V155" s="9">
        <f>IFERROR(INDEX('Postmix Lower Keg'!$F$2:$F$300,MATCH(A155,'Postmix Lower Keg'!$A$2:$A$300,0)),0)</f>
        <v>0</v>
      </c>
      <c r="W155" s="10">
        <f>IFERROR(INDEX('Postmix TWR'!$F$2:$F$300,MATCH(A155,'Postmix TWR'!$A$2:$A$300,0)),0)</f>
        <v>0</v>
      </c>
    </row>
    <row r="156" spans="1:23" x14ac:dyDescent="0.35">
      <c r="A156" s="8">
        <v>53294</v>
      </c>
      <c r="B156" s="9" t="s">
        <v>210</v>
      </c>
      <c r="C156" s="9" t="s">
        <v>156</v>
      </c>
      <c r="D156" s="9" t="s">
        <v>213</v>
      </c>
      <c r="E156" s="17">
        <v>6</v>
      </c>
      <c r="F156" s="23">
        <f t="shared" si="4"/>
        <v>0</v>
      </c>
      <c r="G156" s="9">
        <f>IFERROR(INDEX('Juice Fridge'!$F$2:$F$300,MATCH(A156,'Juice Fridge'!$A$2:$A$300,0)),0)</f>
        <v>0</v>
      </c>
      <c r="H156" s="9">
        <f>IFERROR(INDEX('Upper Keg'!$F$2:$F$300,MATCH(A156,'Upper Keg'!$A$2:$A$300,0)),0)</f>
        <v>0</v>
      </c>
      <c r="I156" s="9">
        <f>IFERROR(INDEX('Astral Bar'!$F$2:$F$300,MATCH(A156,'Astral Bar'!$A$2:$A$300,0)),0)</f>
        <v>0</v>
      </c>
      <c r="J156" s="9">
        <f>IFERROR(INDEX('GB1 Bar'!$F$2:$F$300,MATCH(A156,'GB1 Bar'!$A$2:$A$300,0)),0)</f>
        <v>0</v>
      </c>
      <c r="K156" s="9">
        <f>IFERROR(INDEX('GB2 Bar'!$F$2:$F$300,MATCH(A156,'GB2 Bar'!$A$2:$A$300,0)),0)</f>
        <v>0</v>
      </c>
      <c r="L156" s="9">
        <f>IFERROR(INDEX('CB1 Bar'!$F$2:$F$300,MATCH(A156,'CB1 Bar'!$A$2:$A$300,0)),0)</f>
        <v>0</v>
      </c>
      <c r="M156" s="9">
        <f>IFERROR(INDEX('CB2 Bar'!$F$2:$F$300,MATCH(A156,'CB2 Bar'!$A$2:$A$300,0)),0)</f>
        <v>0</v>
      </c>
      <c r="N156" s="9">
        <f>IFERROR(INDEX('CB3 Bar'!$F$2:$F$300,MATCH(A156,'CB3 Bar'!$A$2:$A$300,0)),0)</f>
        <v>0</v>
      </c>
      <c r="O156" s="9">
        <f>IFERROR(INDEX('Spirits Room'!$F$2:$F$300,MATCH(A156,'Spirits Room'!$A$2:$A$300,0)),0)</f>
        <v>0</v>
      </c>
      <c r="P156" s="9">
        <f>IFERROR(INDEX('White Wine Fridge'!$F$2:$F$300,MATCH(A156,'White Wine Fridge'!$A$2:$A$300,0)),0)</f>
        <v>0</v>
      </c>
      <c r="Q156" s="9">
        <f>IFERROR(INDEX('Lower Keg'!$F$2:$F$300,MATCH(A156,'Lower Keg'!$A$2:$A$300,0)),0)</f>
        <v>0</v>
      </c>
      <c r="R156" s="9">
        <f>IFERROR(INDEX('Botanical Storeroom'!$F$2:$F$300,MATCH(A156,'Botanical Storeroom'!$A$2:$A$300,0)),0)</f>
        <v>0</v>
      </c>
      <c r="S156" s="9">
        <f>IFERROR(INDEX('Botanical Bar'!$F$2:$F$300,MATCH(A156,'Botanical Bar'!$A$2:$A$300,0)),0)</f>
        <v>0</v>
      </c>
      <c r="T156" s="9">
        <f>IFERROR(INDEX('Loading Dock Fridge'!$F$2:$F$300,MATCH(A156,'Loading Dock Fridge'!$A$2:$A$300,0)),0)</f>
        <v>0</v>
      </c>
      <c r="U156" s="9">
        <f>IFERROR(INDEX('Postmix Loading Dock'!$F$2:$F$300,MATCH(A156,'Postmix Loading Dock'!$A$2:$A$300,0)),0)</f>
        <v>0</v>
      </c>
      <c r="V156" s="9">
        <f>IFERROR(INDEX('Postmix Lower Keg'!$F$2:$F$300,MATCH(A156,'Postmix Lower Keg'!$A$2:$A$300,0)),0)</f>
        <v>0</v>
      </c>
      <c r="W156" s="10">
        <f>IFERROR(INDEX('Postmix TWR'!$F$2:$F$300,MATCH(A156,'Postmix TWR'!$A$2:$A$300,0)),0)</f>
        <v>0</v>
      </c>
    </row>
    <row r="157" spans="1:23" x14ac:dyDescent="0.35">
      <c r="A157" s="8">
        <v>39034</v>
      </c>
      <c r="B157" s="9" t="s">
        <v>210</v>
      </c>
      <c r="C157" s="9" t="s">
        <v>156</v>
      </c>
      <c r="D157" s="9" t="s">
        <v>214</v>
      </c>
      <c r="E157" s="17">
        <v>6</v>
      </c>
      <c r="F157" s="23">
        <f t="shared" si="4"/>
        <v>0</v>
      </c>
      <c r="G157" s="9">
        <f>IFERROR(INDEX('Juice Fridge'!$F$2:$F$300,MATCH(A157,'Juice Fridge'!$A$2:$A$300,0)),0)</f>
        <v>0</v>
      </c>
      <c r="H157" s="9">
        <f>IFERROR(INDEX('Upper Keg'!$F$2:$F$300,MATCH(A157,'Upper Keg'!$A$2:$A$300,0)),0)</f>
        <v>0</v>
      </c>
      <c r="I157" s="9">
        <f>IFERROR(INDEX('Astral Bar'!$F$2:$F$300,MATCH(A157,'Astral Bar'!$A$2:$A$300,0)),0)</f>
        <v>0</v>
      </c>
      <c r="J157" s="9">
        <f>IFERROR(INDEX('GB1 Bar'!$F$2:$F$300,MATCH(A157,'GB1 Bar'!$A$2:$A$300,0)),0)</f>
        <v>0</v>
      </c>
      <c r="K157" s="9">
        <f>IFERROR(INDEX('GB2 Bar'!$F$2:$F$300,MATCH(A157,'GB2 Bar'!$A$2:$A$300,0)),0)</f>
        <v>0</v>
      </c>
      <c r="L157" s="9">
        <f>IFERROR(INDEX('CB1 Bar'!$F$2:$F$300,MATCH(A157,'CB1 Bar'!$A$2:$A$300,0)),0)</f>
        <v>0</v>
      </c>
      <c r="M157" s="9">
        <f>IFERROR(INDEX('CB2 Bar'!$F$2:$F$300,MATCH(A157,'CB2 Bar'!$A$2:$A$300,0)),0)</f>
        <v>0</v>
      </c>
      <c r="N157" s="9">
        <f>IFERROR(INDEX('CB3 Bar'!$F$2:$F$300,MATCH(A157,'CB3 Bar'!$A$2:$A$300,0)),0)</f>
        <v>0</v>
      </c>
      <c r="O157" s="9">
        <f>IFERROR(INDEX('Spirits Room'!$F$2:$F$300,MATCH(A157,'Spirits Room'!$A$2:$A$300,0)),0)</f>
        <v>0</v>
      </c>
      <c r="P157" s="9">
        <f>IFERROR(INDEX('White Wine Fridge'!$F$2:$F$300,MATCH(A157,'White Wine Fridge'!$A$2:$A$300,0)),0)</f>
        <v>0</v>
      </c>
      <c r="Q157" s="9">
        <f>IFERROR(INDEX('Lower Keg'!$F$2:$F$300,MATCH(A157,'Lower Keg'!$A$2:$A$300,0)),0)</f>
        <v>0</v>
      </c>
      <c r="R157" s="9">
        <f>IFERROR(INDEX('Botanical Storeroom'!$F$2:$F$300,MATCH(A157,'Botanical Storeroom'!$A$2:$A$300,0)),0)</f>
        <v>0</v>
      </c>
      <c r="S157" s="9">
        <f>IFERROR(INDEX('Botanical Bar'!$F$2:$F$300,MATCH(A157,'Botanical Bar'!$A$2:$A$300,0)),0)</f>
        <v>0</v>
      </c>
      <c r="T157" s="9">
        <f>IFERROR(INDEX('Loading Dock Fridge'!$F$2:$F$300,MATCH(A157,'Loading Dock Fridge'!$A$2:$A$300,0)),0)</f>
        <v>0</v>
      </c>
      <c r="U157" s="9">
        <f>IFERROR(INDEX('Postmix Loading Dock'!$F$2:$F$300,MATCH(A157,'Postmix Loading Dock'!$A$2:$A$300,0)),0)</f>
        <v>0</v>
      </c>
      <c r="V157" s="9">
        <f>IFERROR(INDEX('Postmix Lower Keg'!$F$2:$F$300,MATCH(A157,'Postmix Lower Keg'!$A$2:$A$300,0)),0)</f>
        <v>0</v>
      </c>
      <c r="W157" s="10">
        <f>IFERROR(INDEX('Postmix TWR'!$F$2:$F$300,MATCH(A157,'Postmix TWR'!$A$2:$A$300,0)),0)</f>
        <v>0</v>
      </c>
    </row>
    <row r="158" spans="1:23" x14ac:dyDescent="0.35">
      <c r="A158" s="8">
        <v>53307</v>
      </c>
      <c r="B158" s="9" t="s">
        <v>215</v>
      </c>
      <c r="C158" s="9" t="s">
        <v>156</v>
      </c>
      <c r="D158" s="9" t="s">
        <v>216</v>
      </c>
      <c r="E158" s="17">
        <v>6</v>
      </c>
      <c r="F158" s="23">
        <f t="shared" si="4"/>
        <v>0</v>
      </c>
      <c r="G158" s="9">
        <f>IFERROR(INDEX('Juice Fridge'!$F$2:$F$300,MATCH(A158,'Juice Fridge'!$A$2:$A$300,0)),0)</f>
        <v>0</v>
      </c>
      <c r="H158" s="9">
        <f>IFERROR(INDEX('Upper Keg'!$F$2:$F$300,MATCH(A158,'Upper Keg'!$A$2:$A$300,0)),0)</f>
        <v>0</v>
      </c>
      <c r="I158" s="9">
        <f>IFERROR(INDEX('Astral Bar'!$F$2:$F$300,MATCH(A158,'Astral Bar'!$A$2:$A$300,0)),0)</f>
        <v>0</v>
      </c>
      <c r="J158" s="9">
        <f>IFERROR(INDEX('GB1 Bar'!$F$2:$F$300,MATCH(A158,'GB1 Bar'!$A$2:$A$300,0)),0)</f>
        <v>0</v>
      </c>
      <c r="K158" s="9">
        <f>IFERROR(INDEX('GB2 Bar'!$F$2:$F$300,MATCH(A158,'GB2 Bar'!$A$2:$A$300,0)),0)</f>
        <v>0</v>
      </c>
      <c r="L158" s="9">
        <f>IFERROR(INDEX('CB1 Bar'!$F$2:$F$300,MATCH(A158,'CB1 Bar'!$A$2:$A$300,0)),0)</f>
        <v>0</v>
      </c>
      <c r="M158" s="9">
        <f>IFERROR(INDEX('CB2 Bar'!$F$2:$F$300,MATCH(A158,'CB2 Bar'!$A$2:$A$300,0)),0)</f>
        <v>0</v>
      </c>
      <c r="N158" s="9">
        <f>IFERROR(INDEX('CB3 Bar'!$F$2:$F$300,MATCH(A158,'CB3 Bar'!$A$2:$A$300,0)),0)</f>
        <v>0</v>
      </c>
      <c r="O158" s="9">
        <f>IFERROR(INDEX('Spirits Room'!$F$2:$F$300,MATCH(A158,'Spirits Room'!$A$2:$A$300,0)),0)</f>
        <v>0</v>
      </c>
      <c r="P158" s="9">
        <f>IFERROR(INDEX('White Wine Fridge'!$F$2:$F$300,MATCH(A158,'White Wine Fridge'!$A$2:$A$300,0)),0)</f>
        <v>0</v>
      </c>
      <c r="Q158" s="9">
        <f>IFERROR(INDEX('Lower Keg'!$F$2:$F$300,MATCH(A158,'Lower Keg'!$A$2:$A$300,0)),0)</f>
        <v>0</v>
      </c>
      <c r="R158" s="9">
        <f>IFERROR(INDEX('Botanical Storeroom'!$F$2:$F$300,MATCH(A158,'Botanical Storeroom'!$A$2:$A$300,0)),0)</f>
        <v>0</v>
      </c>
      <c r="S158" s="9">
        <f>IFERROR(INDEX('Botanical Bar'!$F$2:$F$300,MATCH(A158,'Botanical Bar'!$A$2:$A$300,0)),0)</f>
        <v>0</v>
      </c>
      <c r="T158" s="9">
        <f>IFERROR(INDEX('Loading Dock Fridge'!$F$2:$F$300,MATCH(A158,'Loading Dock Fridge'!$A$2:$A$300,0)),0)</f>
        <v>0</v>
      </c>
      <c r="U158" s="9">
        <f>IFERROR(INDEX('Postmix Loading Dock'!$F$2:$F$300,MATCH(A158,'Postmix Loading Dock'!$A$2:$A$300,0)),0)</f>
        <v>0</v>
      </c>
      <c r="V158" s="9">
        <f>IFERROR(INDEX('Postmix Lower Keg'!$F$2:$F$300,MATCH(A158,'Postmix Lower Keg'!$A$2:$A$300,0)),0)</f>
        <v>0</v>
      </c>
      <c r="W158" s="10">
        <f>IFERROR(INDEX('Postmix TWR'!$F$2:$F$300,MATCH(A158,'Postmix TWR'!$A$2:$A$300,0)),0)</f>
        <v>0</v>
      </c>
    </row>
    <row r="159" spans="1:23" x14ac:dyDescent="0.35">
      <c r="A159" s="8">
        <v>16960</v>
      </c>
      <c r="B159" s="9" t="s">
        <v>215</v>
      </c>
      <c r="C159" s="9" t="s">
        <v>156</v>
      </c>
      <c r="D159" s="9" t="s">
        <v>217</v>
      </c>
      <c r="E159" s="17">
        <v>6</v>
      </c>
      <c r="F159" s="23">
        <f t="shared" si="4"/>
        <v>0</v>
      </c>
      <c r="G159" s="9">
        <f>IFERROR(INDEX('Juice Fridge'!$F$2:$F$300,MATCH(A159,'Juice Fridge'!$A$2:$A$300,0)),0)</f>
        <v>0</v>
      </c>
      <c r="H159" s="9">
        <f>IFERROR(INDEX('Upper Keg'!$F$2:$F$300,MATCH(A159,'Upper Keg'!$A$2:$A$300,0)),0)</f>
        <v>0</v>
      </c>
      <c r="I159" s="9">
        <f>IFERROR(INDEX('Astral Bar'!$F$2:$F$300,MATCH(A159,'Astral Bar'!$A$2:$A$300,0)),0)</f>
        <v>0</v>
      </c>
      <c r="J159" s="9">
        <f>IFERROR(INDEX('GB1 Bar'!$F$2:$F$300,MATCH(A159,'GB1 Bar'!$A$2:$A$300,0)),0)</f>
        <v>0</v>
      </c>
      <c r="K159" s="9">
        <f>IFERROR(INDEX('GB2 Bar'!$F$2:$F$300,MATCH(A159,'GB2 Bar'!$A$2:$A$300,0)),0)</f>
        <v>0</v>
      </c>
      <c r="L159" s="9">
        <f>IFERROR(INDEX('CB1 Bar'!$F$2:$F$300,MATCH(A159,'CB1 Bar'!$A$2:$A$300,0)),0)</f>
        <v>0</v>
      </c>
      <c r="M159" s="9">
        <f>IFERROR(INDEX('CB2 Bar'!$F$2:$F$300,MATCH(A159,'CB2 Bar'!$A$2:$A$300,0)),0)</f>
        <v>0</v>
      </c>
      <c r="N159" s="9">
        <f>IFERROR(INDEX('CB3 Bar'!$F$2:$F$300,MATCH(A159,'CB3 Bar'!$A$2:$A$300,0)),0)</f>
        <v>0</v>
      </c>
      <c r="O159" s="9">
        <f>IFERROR(INDEX('Spirits Room'!$F$2:$F$300,MATCH(A159,'Spirits Room'!$A$2:$A$300,0)),0)</f>
        <v>0</v>
      </c>
      <c r="P159" s="9">
        <f>IFERROR(INDEX('White Wine Fridge'!$F$2:$F$300,MATCH(A159,'White Wine Fridge'!$A$2:$A$300,0)),0)</f>
        <v>0</v>
      </c>
      <c r="Q159" s="9">
        <f>IFERROR(INDEX('Lower Keg'!$F$2:$F$300,MATCH(A159,'Lower Keg'!$A$2:$A$300,0)),0)</f>
        <v>0</v>
      </c>
      <c r="R159" s="9">
        <f>IFERROR(INDEX('Botanical Storeroom'!$F$2:$F$300,MATCH(A159,'Botanical Storeroom'!$A$2:$A$300,0)),0)</f>
        <v>0</v>
      </c>
      <c r="S159" s="9">
        <f>IFERROR(INDEX('Botanical Bar'!$F$2:$F$300,MATCH(A159,'Botanical Bar'!$A$2:$A$300,0)),0)</f>
        <v>0</v>
      </c>
      <c r="T159" s="9">
        <f>IFERROR(INDEX('Loading Dock Fridge'!$F$2:$F$300,MATCH(A159,'Loading Dock Fridge'!$A$2:$A$300,0)),0)</f>
        <v>0</v>
      </c>
      <c r="U159" s="9">
        <f>IFERROR(INDEX('Postmix Loading Dock'!$F$2:$F$300,MATCH(A159,'Postmix Loading Dock'!$A$2:$A$300,0)),0)</f>
        <v>0</v>
      </c>
      <c r="V159" s="9">
        <f>IFERROR(INDEX('Postmix Lower Keg'!$F$2:$F$300,MATCH(A159,'Postmix Lower Keg'!$A$2:$A$300,0)),0)</f>
        <v>0</v>
      </c>
      <c r="W159" s="10">
        <f>IFERROR(INDEX('Postmix TWR'!$F$2:$F$300,MATCH(A159,'Postmix TWR'!$A$2:$A$300,0)),0)</f>
        <v>0</v>
      </c>
    </row>
    <row r="160" spans="1:23" x14ac:dyDescent="0.35">
      <c r="A160" s="8">
        <v>22627</v>
      </c>
      <c r="B160" s="9" t="s">
        <v>215</v>
      </c>
      <c r="C160" s="9" t="s">
        <v>156</v>
      </c>
      <c r="D160" s="9" t="s">
        <v>218</v>
      </c>
      <c r="E160" s="17">
        <v>6</v>
      </c>
      <c r="F160" s="23">
        <f t="shared" si="4"/>
        <v>0</v>
      </c>
      <c r="G160" s="9">
        <f>IFERROR(INDEX('Juice Fridge'!$F$2:$F$300,MATCH(A160,'Juice Fridge'!$A$2:$A$300,0)),0)</f>
        <v>0</v>
      </c>
      <c r="H160" s="9">
        <f>IFERROR(INDEX('Upper Keg'!$F$2:$F$300,MATCH(A160,'Upper Keg'!$A$2:$A$300,0)),0)</f>
        <v>0</v>
      </c>
      <c r="I160" s="9">
        <f>IFERROR(INDEX('Astral Bar'!$F$2:$F$300,MATCH(A160,'Astral Bar'!$A$2:$A$300,0)),0)</f>
        <v>0</v>
      </c>
      <c r="J160" s="9">
        <f>IFERROR(INDEX('GB1 Bar'!$F$2:$F$300,MATCH(A160,'GB1 Bar'!$A$2:$A$300,0)),0)</f>
        <v>0</v>
      </c>
      <c r="K160" s="9">
        <f>IFERROR(INDEX('GB2 Bar'!$F$2:$F$300,MATCH(A160,'GB2 Bar'!$A$2:$A$300,0)),0)</f>
        <v>0</v>
      </c>
      <c r="L160" s="9">
        <f>IFERROR(INDEX('CB1 Bar'!$F$2:$F$300,MATCH(A160,'CB1 Bar'!$A$2:$A$300,0)),0)</f>
        <v>0</v>
      </c>
      <c r="M160" s="9">
        <f>IFERROR(INDEX('CB2 Bar'!$F$2:$F$300,MATCH(A160,'CB2 Bar'!$A$2:$A$300,0)),0)</f>
        <v>0</v>
      </c>
      <c r="N160" s="9">
        <f>IFERROR(INDEX('CB3 Bar'!$F$2:$F$300,MATCH(A160,'CB3 Bar'!$A$2:$A$300,0)),0)</f>
        <v>0</v>
      </c>
      <c r="O160" s="9">
        <f>IFERROR(INDEX('Spirits Room'!$F$2:$F$300,MATCH(A160,'Spirits Room'!$A$2:$A$300,0)),0)</f>
        <v>0</v>
      </c>
      <c r="P160" s="9">
        <f>IFERROR(INDEX('White Wine Fridge'!$F$2:$F$300,MATCH(A160,'White Wine Fridge'!$A$2:$A$300,0)),0)</f>
        <v>0</v>
      </c>
      <c r="Q160" s="9">
        <f>IFERROR(INDEX('Lower Keg'!$F$2:$F$300,MATCH(A160,'Lower Keg'!$A$2:$A$300,0)),0)</f>
        <v>0</v>
      </c>
      <c r="R160" s="9">
        <f>IFERROR(INDEX('Botanical Storeroom'!$F$2:$F$300,MATCH(A160,'Botanical Storeroom'!$A$2:$A$300,0)),0)</f>
        <v>0</v>
      </c>
      <c r="S160" s="9">
        <f>IFERROR(INDEX('Botanical Bar'!$F$2:$F$300,MATCH(A160,'Botanical Bar'!$A$2:$A$300,0)),0)</f>
        <v>0</v>
      </c>
      <c r="T160" s="9">
        <f>IFERROR(INDEX('Loading Dock Fridge'!$F$2:$F$300,MATCH(A160,'Loading Dock Fridge'!$A$2:$A$300,0)),0)</f>
        <v>0</v>
      </c>
      <c r="U160" s="9">
        <f>IFERROR(INDEX('Postmix Loading Dock'!$F$2:$F$300,MATCH(A160,'Postmix Loading Dock'!$A$2:$A$300,0)),0)</f>
        <v>0</v>
      </c>
      <c r="V160" s="9">
        <f>IFERROR(INDEX('Postmix Lower Keg'!$F$2:$F$300,MATCH(A160,'Postmix Lower Keg'!$A$2:$A$300,0)),0)</f>
        <v>0</v>
      </c>
      <c r="W160" s="10">
        <f>IFERROR(INDEX('Postmix TWR'!$F$2:$F$300,MATCH(A160,'Postmix TWR'!$A$2:$A$300,0)),0)</f>
        <v>0</v>
      </c>
    </row>
    <row r="161" spans="1:23" x14ac:dyDescent="0.35">
      <c r="A161" s="8">
        <v>116290</v>
      </c>
      <c r="B161" s="9" t="s">
        <v>215</v>
      </c>
      <c r="C161" s="9" t="s">
        <v>156</v>
      </c>
      <c r="D161" s="9" t="s">
        <v>219</v>
      </c>
      <c r="E161" s="17">
        <v>6</v>
      </c>
      <c r="F161" s="23">
        <f t="shared" si="4"/>
        <v>0</v>
      </c>
      <c r="G161" s="9">
        <f>IFERROR(INDEX('Juice Fridge'!$F$2:$F$300,MATCH(A161,'Juice Fridge'!$A$2:$A$300,0)),0)</f>
        <v>0</v>
      </c>
      <c r="H161" s="9">
        <f>IFERROR(INDEX('Upper Keg'!$F$2:$F$300,MATCH(A161,'Upper Keg'!$A$2:$A$300,0)),0)</f>
        <v>0</v>
      </c>
      <c r="I161" s="9">
        <f>IFERROR(INDEX('Astral Bar'!$F$2:$F$300,MATCH(A161,'Astral Bar'!$A$2:$A$300,0)),0)</f>
        <v>0</v>
      </c>
      <c r="J161" s="9">
        <f>IFERROR(INDEX('GB1 Bar'!$F$2:$F$300,MATCH(A161,'GB1 Bar'!$A$2:$A$300,0)),0)</f>
        <v>0</v>
      </c>
      <c r="K161" s="9">
        <f>IFERROR(INDEX('GB2 Bar'!$F$2:$F$300,MATCH(A161,'GB2 Bar'!$A$2:$A$300,0)),0)</f>
        <v>0</v>
      </c>
      <c r="L161" s="9">
        <f>IFERROR(INDEX('CB1 Bar'!$F$2:$F$300,MATCH(A161,'CB1 Bar'!$A$2:$A$300,0)),0)</f>
        <v>0</v>
      </c>
      <c r="M161" s="9">
        <f>IFERROR(INDEX('CB2 Bar'!$F$2:$F$300,MATCH(A161,'CB2 Bar'!$A$2:$A$300,0)),0)</f>
        <v>0</v>
      </c>
      <c r="N161" s="9">
        <f>IFERROR(INDEX('CB3 Bar'!$F$2:$F$300,MATCH(A161,'CB3 Bar'!$A$2:$A$300,0)),0)</f>
        <v>0</v>
      </c>
      <c r="O161" s="9">
        <f>IFERROR(INDEX('Spirits Room'!$F$2:$F$300,MATCH(A161,'Spirits Room'!$A$2:$A$300,0)),0)</f>
        <v>0</v>
      </c>
      <c r="P161" s="9">
        <f>IFERROR(INDEX('White Wine Fridge'!$F$2:$F$300,MATCH(A161,'White Wine Fridge'!$A$2:$A$300,0)),0)</f>
        <v>0</v>
      </c>
      <c r="Q161" s="9">
        <f>IFERROR(INDEX('Lower Keg'!$F$2:$F$300,MATCH(A161,'Lower Keg'!$A$2:$A$300,0)),0)</f>
        <v>0</v>
      </c>
      <c r="R161" s="9">
        <f>IFERROR(INDEX('Botanical Storeroom'!$F$2:$F$300,MATCH(A161,'Botanical Storeroom'!$A$2:$A$300,0)),0)</f>
        <v>0</v>
      </c>
      <c r="S161" s="9">
        <f>IFERROR(INDEX('Botanical Bar'!$F$2:$F$300,MATCH(A161,'Botanical Bar'!$A$2:$A$300,0)),0)</f>
        <v>0</v>
      </c>
      <c r="T161" s="9">
        <f>IFERROR(INDEX('Loading Dock Fridge'!$F$2:$F$300,MATCH(A161,'Loading Dock Fridge'!$A$2:$A$300,0)),0)</f>
        <v>0</v>
      </c>
      <c r="U161" s="9">
        <f>IFERROR(INDEX('Postmix Loading Dock'!$F$2:$F$300,MATCH(A161,'Postmix Loading Dock'!$A$2:$A$300,0)),0)</f>
        <v>0</v>
      </c>
      <c r="V161" s="9">
        <f>IFERROR(INDEX('Postmix Lower Keg'!$F$2:$F$300,MATCH(A161,'Postmix Lower Keg'!$A$2:$A$300,0)),0)</f>
        <v>0</v>
      </c>
      <c r="W161" s="10">
        <f>IFERROR(INDEX('Postmix TWR'!$F$2:$F$300,MATCH(A161,'Postmix TWR'!$A$2:$A$300,0)),0)</f>
        <v>0</v>
      </c>
    </row>
    <row r="162" spans="1:23" x14ac:dyDescent="0.35">
      <c r="A162" s="8">
        <v>15866</v>
      </c>
      <c r="B162" s="9" t="s">
        <v>215</v>
      </c>
      <c r="C162" s="9" t="s">
        <v>156</v>
      </c>
      <c r="D162" s="9" t="s">
        <v>220</v>
      </c>
      <c r="E162" s="17">
        <v>6</v>
      </c>
      <c r="F162" s="23">
        <f t="shared" ref="F162:F193" si="5">G162+H162+I162+J162+K162+L162+M162+N162+O162+P162+Q162+R162+S162+T162+U162+V162+W162</f>
        <v>0</v>
      </c>
      <c r="G162" s="9">
        <f>IFERROR(INDEX('Juice Fridge'!$F$2:$F$300,MATCH(A162,'Juice Fridge'!$A$2:$A$300,0)),0)</f>
        <v>0</v>
      </c>
      <c r="H162" s="9">
        <f>IFERROR(INDEX('Upper Keg'!$F$2:$F$300,MATCH(A162,'Upper Keg'!$A$2:$A$300,0)),0)</f>
        <v>0</v>
      </c>
      <c r="I162" s="9">
        <f>IFERROR(INDEX('Astral Bar'!$F$2:$F$300,MATCH(A162,'Astral Bar'!$A$2:$A$300,0)),0)</f>
        <v>0</v>
      </c>
      <c r="J162" s="9">
        <f>IFERROR(INDEX('GB1 Bar'!$F$2:$F$300,MATCH(A162,'GB1 Bar'!$A$2:$A$300,0)),0)</f>
        <v>0</v>
      </c>
      <c r="K162" s="9">
        <f>IFERROR(INDEX('GB2 Bar'!$F$2:$F$300,MATCH(A162,'GB2 Bar'!$A$2:$A$300,0)),0)</f>
        <v>0</v>
      </c>
      <c r="L162" s="9">
        <f>IFERROR(INDEX('CB1 Bar'!$F$2:$F$300,MATCH(A162,'CB1 Bar'!$A$2:$A$300,0)),0)</f>
        <v>0</v>
      </c>
      <c r="M162" s="9">
        <f>IFERROR(INDEX('CB2 Bar'!$F$2:$F$300,MATCH(A162,'CB2 Bar'!$A$2:$A$300,0)),0)</f>
        <v>0</v>
      </c>
      <c r="N162" s="9">
        <f>IFERROR(INDEX('CB3 Bar'!$F$2:$F$300,MATCH(A162,'CB3 Bar'!$A$2:$A$300,0)),0)</f>
        <v>0</v>
      </c>
      <c r="O162" s="9">
        <f>IFERROR(INDEX('Spirits Room'!$F$2:$F$300,MATCH(A162,'Spirits Room'!$A$2:$A$300,0)),0)</f>
        <v>0</v>
      </c>
      <c r="P162" s="9">
        <f>IFERROR(INDEX('White Wine Fridge'!$F$2:$F$300,MATCH(A162,'White Wine Fridge'!$A$2:$A$300,0)),0)</f>
        <v>0</v>
      </c>
      <c r="Q162" s="9">
        <f>IFERROR(INDEX('Lower Keg'!$F$2:$F$300,MATCH(A162,'Lower Keg'!$A$2:$A$300,0)),0)</f>
        <v>0</v>
      </c>
      <c r="R162" s="9">
        <f>IFERROR(INDEX('Botanical Storeroom'!$F$2:$F$300,MATCH(A162,'Botanical Storeroom'!$A$2:$A$300,0)),0)</f>
        <v>0</v>
      </c>
      <c r="S162" s="9">
        <f>IFERROR(INDEX('Botanical Bar'!$F$2:$F$300,MATCH(A162,'Botanical Bar'!$A$2:$A$300,0)),0)</f>
        <v>0</v>
      </c>
      <c r="T162" s="9">
        <f>IFERROR(INDEX('Loading Dock Fridge'!$F$2:$F$300,MATCH(A162,'Loading Dock Fridge'!$A$2:$A$300,0)),0)</f>
        <v>0</v>
      </c>
      <c r="U162" s="9">
        <f>IFERROR(INDEX('Postmix Loading Dock'!$F$2:$F$300,MATCH(A162,'Postmix Loading Dock'!$A$2:$A$300,0)),0)</f>
        <v>0</v>
      </c>
      <c r="V162" s="9">
        <f>IFERROR(INDEX('Postmix Lower Keg'!$F$2:$F$300,MATCH(A162,'Postmix Lower Keg'!$A$2:$A$300,0)),0)</f>
        <v>0</v>
      </c>
      <c r="W162" s="10">
        <f>IFERROR(INDEX('Postmix TWR'!$F$2:$F$300,MATCH(A162,'Postmix TWR'!$A$2:$A$300,0)),0)</f>
        <v>0</v>
      </c>
    </row>
    <row r="163" spans="1:23" x14ac:dyDescent="0.35">
      <c r="A163" s="8">
        <v>32450</v>
      </c>
      <c r="B163" s="9" t="s">
        <v>215</v>
      </c>
      <c r="C163" s="9" t="s">
        <v>156</v>
      </c>
      <c r="D163" s="9" t="s">
        <v>221</v>
      </c>
      <c r="E163" s="17">
        <v>6</v>
      </c>
      <c r="F163" s="23">
        <f t="shared" si="5"/>
        <v>0</v>
      </c>
      <c r="G163" s="9">
        <f>IFERROR(INDEX('Juice Fridge'!$F$2:$F$300,MATCH(A163,'Juice Fridge'!$A$2:$A$300,0)),0)</f>
        <v>0</v>
      </c>
      <c r="H163" s="9">
        <f>IFERROR(INDEX('Upper Keg'!$F$2:$F$300,MATCH(A163,'Upper Keg'!$A$2:$A$300,0)),0)</f>
        <v>0</v>
      </c>
      <c r="I163" s="9">
        <f>IFERROR(INDEX('Astral Bar'!$F$2:$F$300,MATCH(A163,'Astral Bar'!$A$2:$A$300,0)),0)</f>
        <v>0</v>
      </c>
      <c r="J163" s="9">
        <f>IFERROR(INDEX('GB1 Bar'!$F$2:$F$300,MATCH(A163,'GB1 Bar'!$A$2:$A$300,0)),0)</f>
        <v>0</v>
      </c>
      <c r="K163" s="9">
        <f>IFERROR(INDEX('GB2 Bar'!$F$2:$F$300,MATCH(A163,'GB2 Bar'!$A$2:$A$300,0)),0)</f>
        <v>0</v>
      </c>
      <c r="L163" s="9">
        <f>IFERROR(INDEX('CB1 Bar'!$F$2:$F$300,MATCH(A163,'CB1 Bar'!$A$2:$A$300,0)),0)</f>
        <v>0</v>
      </c>
      <c r="M163" s="9">
        <f>IFERROR(INDEX('CB2 Bar'!$F$2:$F$300,MATCH(A163,'CB2 Bar'!$A$2:$A$300,0)),0)</f>
        <v>0</v>
      </c>
      <c r="N163" s="9">
        <f>IFERROR(INDEX('CB3 Bar'!$F$2:$F$300,MATCH(A163,'CB3 Bar'!$A$2:$A$300,0)),0)</f>
        <v>0</v>
      </c>
      <c r="O163" s="9">
        <f>IFERROR(INDEX('Spirits Room'!$F$2:$F$300,MATCH(A163,'Spirits Room'!$A$2:$A$300,0)),0)</f>
        <v>0</v>
      </c>
      <c r="P163" s="9">
        <f>IFERROR(INDEX('White Wine Fridge'!$F$2:$F$300,MATCH(A163,'White Wine Fridge'!$A$2:$A$300,0)),0)</f>
        <v>0</v>
      </c>
      <c r="Q163" s="9">
        <f>IFERROR(INDEX('Lower Keg'!$F$2:$F$300,MATCH(A163,'Lower Keg'!$A$2:$A$300,0)),0)</f>
        <v>0</v>
      </c>
      <c r="R163" s="9">
        <f>IFERROR(INDEX('Botanical Storeroom'!$F$2:$F$300,MATCH(A163,'Botanical Storeroom'!$A$2:$A$300,0)),0)</f>
        <v>0</v>
      </c>
      <c r="S163" s="9">
        <f>IFERROR(INDEX('Botanical Bar'!$F$2:$F$300,MATCH(A163,'Botanical Bar'!$A$2:$A$300,0)),0)</f>
        <v>0</v>
      </c>
      <c r="T163" s="9">
        <f>IFERROR(INDEX('Loading Dock Fridge'!$F$2:$F$300,MATCH(A163,'Loading Dock Fridge'!$A$2:$A$300,0)),0)</f>
        <v>0</v>
      </c>
      <c r="U163" s="9">
        <f>IFERROR(INDEX('Postmix Loading Dock'!$F$2:$F$300,MATCH(A163,'Postmix Loading Dock'!$A$2:$A$300,0)),0)</f>
        <v>0</v>
      </c>
      <c r="V163" s="9">
        <f>IFERROR(INDEX('Postmix Lower Keg'!$F$2:$F$300,MATCH(A163,'Postmix Lower Keg'!$A$2:$A$300,0)),0)</f>
        <v>0</v>
      </c>
      <c r="W163" s="10">
        <f>IFERROR(INDEX('Postmix TWR'!$F$2:$F$300,MATCH(A163,'Postmix TWR'!$A$2:$A$300,0)),0)</f>
        <v>0</v>
      </c>
    </row>
    <row r="164" spans="1:23" x14ac:dyDescent="0.35">
      <c r="A164" s="8">
        <v>17740</v>
      </c>
      <c r="B164" s="9" t="s">
        <v>215</v>
      </c>
      <c r="C164" s="9" t="s">
        <v>156</v>
      </c>
      <c r="D164" s="9" t="s">
        <v>222</v>
      </c>
      <c r="E164" s="17">
        <v>6</v>
      </c>
      <c r="F164" s="23">
        <f t="shared" si="5"/>
        <v>0</v>
      </c>
      <c r="G164" s="9">
        <f>IFERROR(INDEX('Juice Fridge'!$F$2:$F$300,MATCH(A164,'Juice Fridge'!$A$2:$A$300,0)),0)</f>
        <v>0</v>
      </c>
      <c r="H164" s="9">
        <f>IFERROR(INDEX('Upper Keg'!$F$2:$F$300,MATCH(A164,'Upper Keg'!$A$2:$A$300,0)),0)</f>
        <v>0</v>
      </c>
      <c r="I164" s="9">
        <f>IFERROR(INDEX('Astral Bar'!$F$2:$F$300,MATCH(A164,'Astral Bar'!$A$2:$A$300,0)),0)</f>
        <v>0</v>
      </c>
      <c r="J164" s="9">
        <f>IFERROR(INDEX('GB1 Bar'!$F$2:$F$300,MATCH(A164,'GB1 Bar'!$A$2:$A$300,0)),0)</f>
        <v>0</v>
      </c>
      <c r="K164" s="9">
        <f>IFERROR(INDEX('GB2 Bar'!$F$2:$F$300,MATCH(A164,'GB2 Bar'!$A$2:$A$300,0)),0)</f>
        <v>0</v>
      </c>
      <c r="L164" s="9">
        <f>IFERROR(INDEX('CB1 Bar'!$F$2:$F$300,MATCH(A164,'CB1 Bar'!$A$2:$A$300,0)),0)</f>
        <v>0</v>
      </c>
      <c r="M164" s="9">
        <f>IFERROR(INDEX('CB2 Bar'!$F$2:$F$300,MATCH(A164,'CB2 Bar'!$A$2:$A$300,0)),0)</f>
        <v>0</v>
      </c>
      <c r="N164" s="9">
        <f>IFERROR(INDEX('CB3 Bar'!$F$2:$F$300,MATCH(A164,'CB3 Bar'!$A$2:$A$300,0)),0)</f>
        <v>0</v>
      </c>
      <c r="O164" s="9">
        <f>IFERROR(INDEX('Spirits Room'!$F$2:$F$300,MATCH(A164,'Spirits Room'!$A$2:$A$300,0)),0)</f>
        <v>0</v>
      </c>
      <c r="P164" s="9">
        <f>IFERROR(INDEX('White Wine Fridge'!$F$2:$F$300,MATCH(A164,'White Wine Fridge'!$A$2:$A$300,0)),0)</f>
        <v>0</v>
      </c>
      <c r="Q164" s="9">
        <f>IFERROR(INDEX('Lower Keg'!$F$2:$F$300,MATCH(A164,'Lower Keg'!$A$2:$A$300,0)),0)</f>
        <v>0</v>
      </c>
      <c r="R164" s="9">
        <f>IFERROR(INDEX('Botanical Storeroom'!$F$2:$F$300,MATCH(A164,'Botanical Storeroom'!$A$2:$A$300,0)),0)</f>
        <v>0</v>
      </c>
      <c r="S164" s="9">
        <f>IFERROR(INDEX('Botanical Bar'!$F$2:$F$300,MATCH(A164,'Botanical Bar'!$A$2:$A$300,0)),0)</f>
        <v>0</v>
      </c>
      <c r="T164" s="9">
        <f>IFERROR(INDEX('Loading Dock Fridge'!$F$2:$F$300,MATCH(A164,'Loading Dock Fridge'!$A$2:$A$300,0)),0)</f>
        <v>0</v>
      </c>
      <c r="U164" s="9">
        <f>IFERROR(INDEX('Postmix Loading Dock'!$F$2:$F$300,MATCH(A164,'Postmix Loading Dock'!$A$2:$A$300,0)),0)</f>
        <v>0</v>
      </c>
      <c r="V164" s="9">
        <f>IFERROR(INDEX('Postmix Lower Keg'!$F$2:$F$300,MATCH(A164,'Postmix Lower Keg'!$A$2:$A$300,0)),0)</f>
        <v>0</v>
      </c>
      <c r="W164" s="10">
        <f>IFERROR(INDEX('Postmix TWR'!$F$2:$F$300,MATCH(A164,'Postmix TWR'!$A$2:$A$300,0)),0)</f>
        <v>0</v>
      </c>
    </row>
    <row r="165" spans="1:23" x14ac:dyDescent="0.35">
      <c r="A165" s="8">
        <v>33</v>
      </c>
      <c r="B165" s="9" t="s">
        <v>215</v>
      </c>
      <c r="C165" s="9" t="s">
        <v>156</v>
      </c>
      <c r="D165" s="9" t="s">
        <v>223</v>
      </c>
      <c r="E165" s="17">
        <v>12</v>
      </c>
      <c r="F165" s="23">
        <f t="shared" si="5"/>
        <v>0</v>
      </c>
      <c r="G165" s="9">
        <f>IFERROR(INDEX('Juice Fridge'!$F$2:$F$300,MATCH(A165,'Juice Fridge'!$A$2:$A$300,0)),0)</f>
        <v>0</v>
      </c>
      <c r="H165" s="9">
        <f>IFERROR(INDEX('Upper Keg'!$F$2:$F$300,MATCH(A165,'Upper Keg'!$A$2:$A$300,0)),0)</f>
        <v>0</v>
      </c>
      <c r="I165" s="9">
        <f>IFERROR(INDEX('Astral Bar'!$F$2:$F$300,MATCH(A165,'Astral Bar'!$A$2:$A$300,0)),0)</f>
        <v>0</v>
      </c>
      <c r="J165" s="9">
        <f>IFERROR(INDEX('GB1 Bar'!$F$2:$F$300,MATCH(A165,'GB1 Bar'!$A$2:$A$300,0)),0)</f>
        <v>0</v>
      </c>
      <c r="K165" s="9">
        <f>IFERROR(INDEX('GB2 Bar'!$F$2:$F$300,MATCH(A165,'GB2 Bar'!$A$2:$A$300,0)),0)</f>
        <v>0</v>
      </c>
      <c r="L165" s="9">
        <f>IFERROR(INDEX('CB1 Bar'!$F$2:$F$300,MATCH(A165,'CB1 Bar'!$A$2:$A$300,0)),0)</f>
        <v>0</v>
      </c>
      <c r="M165" s="9">
        <f>IFERROR(INDEX('CB2 Bar'!$F$2:$F$300,MATCH(A165,'CB2 Bar'!$A$2:$A$300,0)),0)</f>
        <v>0</v>
      </c>
      <c r="N165" s="9">
        <f>IFERROR(INDEX('CB3 Bar'!$F$2:$F$300,MATCH(A165,'CB3 Bar'!$A$2:$A$300,0)),0)</f>
        <v>0</v>
      </c>
      <c r="O165" s="9">
        <f>IFERROR(INDEX('Spirits Room'!$F$2:$F$300,MATCH(A165,'Spirits Room'!$A$2:$A$300,0)),0)</f>
        <v>0</v>
      </c>
      <c r="P165" s="9">
        <f>IFERROR(INDEX('White Wine Fridge'!$F$2:$F$300,MATCH(A165,'White Wine Fridge'!$A$2:$A$300,0)),0)</f>
        <v>0</v>
      </c>
      <c r="Q165" s="9">
        <f>IFERROR(INDEX('Lower Keg'!$F$2:$F$300,MATCH(A165,'Lower Keg'!$A$2:$A$300,0)),0)</f>
        <v>0</v>
      </c>
      <c r="R165" s="9">
        <f>IFERROR(INDEX('Botanical Storeroom'!$F$2:$F$300,MATCH(A165,'Botanical Storeroom'!$A$2:$A$300,0)),0)</f>
        <v>0</v>
      </c>
      <c r="S165" s="9">
        <f>IFERROR(INDEX('Botanical Bar'!$F$2:$F$300,MATCH(A165,'Botanical Bar'!$A$2:$A$300,0)),0)</f>
        <v>0</v>
      </c>
      <c r="T165" s="9">
        <f>IFERROR(INDEX('Loading Dock Fridge'!$F$2:$F$300,MATCH(A165,'Loading Dock Fridge'!$A$2:$A$300,0)),0)</f>
        <v>0</v>
      </c>
      <c r="U165" s="9">
        <f>IFERROR(INDEX('Postmix Loading Dock'!$F$2:$F$300,MATCH(A165,'Postmix Loading Dock'!$A$2:$A$300,0)),0)</f>
        <v>0</v>
      </c>
      <c r="V165" s="9">
        <f>IFERROR(INDEX('Postmix Lower Keg'!$F$2:$F$300,MATCH(A165,'Postmix Lower Keg'!$A$2:$A$300,0)),0)</f>
        <v>0</v>
      </c>
      <c r="W165" s="10">
        <f>IFERROR(INDEX('Postmix TWR'!$F$2:$F$300,MATCH(A165,'Postmix TWR'!$A$2:$A$300,0)),0)</f>
        <v>0</v>
      </c>
    </row>
    <row r="166" spans="1:23" x14ac:dyDescent="0.35">
      <c r="A166" s="8">
        <v>40369</v>
      </c>
      <c r="B166" s="9" t="s">
        <v>215</v>
      </c>
      <c r="C166" s="9" t="s">
        <v>156</v>
      </c>
      <c r="D166" s="9" t="s">
        <v>224</v>
      </c>
      <c r="E166" s="17">
        <v>6</v>
      </c>
      <c r="F166" s="23">
        <f t="shared" si="5"/>
        <v>0</v>
      </c>
      <c r="G166" s="9">
        <f>IFERROR(INDEX('Juice Fridge'!$F$2:$F$300,MATCH(A166,'Juice Fridge'!$A$2:$A$300,0)),0)</f>
        <v>0</v>
      </c>
      <c r="H166" s="9">
        <f>IFERROR(INDEX('Upper Keg'!$F$2:$F$300,MATCH(A166,'Upper Keg'!$A$2:$A$300,0)),0)</f>
        <v>0</v>
      </c>
      <c r="I166" s="9">
        <f>IFERROR(INDEX('Astral Bar'!$F$2:$F$300,MATCH(A166,'Astral Bar'!$A$2:$A$300,0)),0)</f>
        <v>0</v>
      </c>
      <c r="J166" s="9">
        <f>IFERROR(INDEX('GB1 Bar'!$F$2:$F$300,MATCH(A166,'GB1 Bar'!$A$2:$A$300,0)),0)</f>
        <v>0</v>
      </c>
      <c r="K166" s="9">
        <f>IFERROR(INDEX('GB2 Bar'!$F$2:$F$300,MATCH(A166,'GB2 Bar'!$A$2:$A$300,0)),0)</f>
        <v>0</v>
      </c>
      <c r="L166" s="9">
        <f>IFERROR(INDEX('CB1 Bar'!$F$2:$F$300,MATCH(A166,'CB1 Bar'!$A$2:$A$300,0)),0)</f>
        <v>0</v>
      </c>
      <c r="M166" s="9">
        <f>IFERROR(INDEX('CB2 Bar'!$F$2:$F$300,MATCH(A166,'CB2 Bar'!$A$2:$A$300,0)),0)</f>
        <v>0</v>
      </c>
      <c r="N166" s="9">
        <f>IFERROR(INDEX('CB3 Bar'!$F$2:$F$300,MATCH(A166,'CB3 Bar'!$A$2:$A$300,0)),0)</f>
        <v>0</v>
      </c>
      <c r="O166" s="9">
        <f>IFERROR(INDEX('Spirits Room'!$F$2:$F$300,MATCH(A166,'Spirits Room'!$A$2:$A$300,0)),0)</f>
        <v>0</v>
      </c>
      <c r="P166" s="9">
        <f>IFERROR(INDEX('White Wine Fridge'!$F$2:$F$300,MATCH(A166,'White Wine Fridge'!$A$2:$A$300,0)),0)</f>
        <v>0</v>
      </c>
      <c r="Q166" s="9">
        <f>IFERROR(INDEX('Lower Keg'!$F$2:$F$300,MATCH(A166,'Lower Keg'!$A$2:$A$300,0)),0)</f>
        <v>0</v>
      </c>
      <c r="R166" s="9">
        <f>IFERROR(INDEX('Botanical Storeroom'!$F$2:$F$300,MATCH(A166,'Botanical Storeroom'!$A$2:$A$300,0)),0)</f>
        <v>0</v>
      </c>
      <c r="S166" s="9">
        <f>IFERROR(INDEX('Botanical Bar'!$F$2:$F$300,MATCH(A166,'Botanical Bar'!$A$2:$A$300,0)),0)</f>
        <v>0</v>
      </c>
      <c r="T166" s="9">
        <f>IFERROR(INDEX('Loading Dock Fridge'!$F$2:$F$300,MATCH(A166,'Loading Dock Fridge'!$A$2:$A$300,0)),0)</f>
        <v>0</v>
      </c>
      <c r="U166" s="9">
        <f>IFERROR(INDEX('Postmix Loading Dock'!$F$2:$F$300,MATCH(A166,'Postmix Loading Dock'!$A$2:$A$300,0)),0)</f>
        <v>0</v>
      </c>
      <c r="V166" s="9">
        <f>IFERROR(INDEX('Postmix Lower Keg'!$F$2:$F$300,MATCH(A166,'Postmix Lower Keg'!$A$2:$A$300,0)),0)</f>
        <v>0</v>
      </c>
      <c r="W166" s="10">
        <f>IFERROR(INDEX('Postmix TWR'!$F$2:$F$300,MATCH(A166,'Postmix TWR'!$A$2:$A$300,0)),0)</f>
        <v>0</v>
      </c>
    </row>
    <row r="167" spans="1:23" x14ac:dyDescent="0.35">
      <c r="A167" s="8">
        <v>13268</v>
      </c>
      <c r="B167" s="9" t="s">
        <v>215</v>
      </c>
      <c r="C167" s="9" t="s">
        <v>156</v>
      </c>
      <c r="D167" s="9" t="s">
        <v>225</v>
      </c>
      <c r="E167" s="17">
        <v>6</v>
      </c>
      <c r="F167" s="23">
        <f t="shared" si="5"/>
        <v>0</v>
      </c>
      <c r="G167" s="9">
        <f>IFERROR(INDEX('Juice Fridge'!$F$2:$F$300,MATCH(A167,'Juice Fridge'!$A$2:$A$300,0)),0)</f>
        <v>0</v>
      </c>
      <c r="H167" s="9">
        <f>IFERROR(INDEX('Upper Keg'!$F$2:$F$300,MATCH(A167,'Upper Keg'!$A$2:$A$300,0)),0)</f>
        <v>0</v>
      </c>
      <c r="I167" s="9">
        <f>IFERROR(INDEX('Astral Bar'!$F$2:$F$300,MATCH(A167,'Astral Bar'!$A$2:$A$300,0)),0)</f>
        <v>0</v>
      </c>
      <c r="J167" s="9">
        <f>IFERROR(INDEX('GB1 Bar'!$F$2:$F$300,MATCH(A167,'GB1 Bar'!$A$2:$A$300,0)),0)</f>
        <v>0</v>
      </c>
      <c r="K167" s="9">
        <f>IFERROR(INDEX('GB2 Bar'!$F$2:$F$300,MATCH(A167,'GB2 Bar'!$A$2:$A$300,0)),0)</f>
        <v>0</v>
      </c>
      <c r="L167" s="9">
        <f>IFERROR(INDEX('CB1 Bar'!$F$2:$F$300,MATCH(A167,'CB1 Bar'!$A$2:$A$300,0)),0)</f>
        <v>0</v>
      </c>
      <c r="M167" s="9">
        <f>IFERROR(INDEX('CB2 Bar'!$F$2:$F$300,MATCH(A167,'CB2 Bar'!$A$2:$A$300,0)),0)</f>
        <v>0</v>
      </c>
      <c r="N167" s="9">
        <f>IFERROR(INDEX('CB3 Bar'!$F$2:$F$300,MATCH(A167,'CB3 Bar'!$A$2:$A$300,0)),0)</f>
        <v>0</v>
      </c>
      <c r="O167" s="9">
        <f>IFERROR(INDEX('Spirits Room'!$F$2:$F$300,MATCH(A167,'Spirits Room'!$A$2:$A$300,0)),0)</f>
        <v>0</v>
      </c>
      <c r="P167" s="9">
        <f>IFERROR(INDEX('White Wine Fridge'!$F$2:$F$300,MATCH(A167,'White Wine Fridge'!$A$2:$A$300,0)),0)</f>
        <v>0</v>
      </c>
      <c r="Q167" s="9">
        <f>IFERROR(INDEX('Lower Keg'!$F$2:$F$300,MATCH(A167,'Lower Keg'!$A$2:$A$300,0)),0)</f>
        <v>0</v>
      </c>
      <c r="R167" s="9">
        <f>IFERROR(INDEX('Botanical Storeroom'!$F$2:$F$300,MATCH(A167,'Botanical Storeroom'!$A$2:$A$300,0)),0)</f>
        <v>0</v>
      </c>
      <c r="S167" s="9">
        <f>IFERROR(INDEX('Botanical Bar'!$F$2:$F$300,MATCH(A167,'Botanical Bar'!$A$2:$A$300,0)),0)</f>
        <v>0</v>
      </c>
      <c r="T167" s="9">
        <f>IFERROR(INDEX('Loading Dock Fridge'!$F$2:$F$300,MATCH(A167,'Loading Dock Fridge'!$A$2:$A$300,0)),0)</f>
        <v>0</v>
      </c>
      <c r="U167" s="9">
        <f>IFERROR(INDEX('Postmix Loading Dock'!$F$2:$F$300,MATCH(A167,'Postmix Loading Dock'!$A$2:$A$300,0)),0)</f>
        <v>0</v>
      </c>
      <c r="V167" s="9">
        <f>IFERROR(INDEX('Postmix Lower Keg'!$F$2:$F$300,MATCH(A167,'Postmix Lower Keg'!$A$2:$A$300,0)),0)</f>
        <v>0</v>
      </c>
      <c r="W167" s="10">
        <f>IFERROR(INDEX('Postmix TWR'!$F$2:$F$300,MATCH(A167,'Postmix TWR'!$A$2:$A$300,0)),0)</f>
        <v>0</v>
      </c>
    </row>
    <row r="168" spans="1:23" x14ac:dyDescent="0.35">
      <c r="A168" s="8">
        <v>64469</v>
      </c>
      <c r="B168" s="9" t="s">
        <v>226</v>
      </c>
      <c r="C168" s="9" t="s">
        <v>227</v>
      </c>
      <c r="D168" s="9" t="s">
        <v>228</v>
      </c>
      <c r="E168" s="17">
        <v>6</v>
      </c>
      <c r="F168" s="23">
        <f t="shared" si="5"/>
        <v>0</v>
      </c>
      <c r="G168" s="9">
        <f>IFERROR(INDEX('Juice Fridge'!$F$2:$F$300,MATCH(A168,'Juice Fridge'!$A$2:$A$300,0)),0)</f>
        <v>0</v>
      </c>
      <c r="H168" s="9">
        <f>IFERROR(INDEX('Upper Keg'!$F$2:$F$300,MATCH(A168,'Upper Keg'!$A$2:$A$300,0)),0)</f>
        <v>0</v>
      </c>
      <c r="I168" s="9">
        <f>IFERROR(INDEX('Astral Bar'!$F$2:$F$300,MATCH(A168,'Astral Bar'!$A$2:$A$300,0)),0)</f>
        <v>0</v>
      </c>
      <c r="J168" s="9">
        <f>IFERROR(INDEX('GB1 Bar'!$F$2:$F$300,MATCH(A168,'GB1 Bar'!$A$2:$A$300,0)),0)</f>
        <v>0</v>
      </c>
      <c r="K168" s="9">
        <f>IFERROR(INDEX('GB2 Bar'!$F$2:$F$300,MATCH(A168,'GB2 Bar'!$A$2:$A$300,0)),0)</f>
        <v>0</v>
      </c>
      <c r="L168" s="9">
        <f>IFERROR(INDEX('CB1 Bar'!$F$2:$F$300,MATCH(A168,'CB1 Bar'!$A$2:$A$300,0)),0)</f>
        <v>0</v>
      </c>
      <c r="M168" s="9">
        <f>IFERROR(INDEX('CB2 Bar'!$F$2:$F$300,MATCH(A168,'CB2 Bar'!$A$2:$A$300,0)),0)</f>
        <v>0</v>
      </c>
      <c r="N168" s="9">
        <f>IFERROR(INDEX('CB3 Bar'!$F$2:$F$300,MATCH(A168,'CB3 Bar'!$A$2:$A$300,0)),0)</f>
        <v>0</v>
      </c>
      <c r="O168" s="9">
        <f>IFERROR(INDEX('Spirits Room'!$F$2:$F$300,MATCH(A168,'Spirits Room'!$A$2:$A$300,0)),0)</f>
        <v>0</v>
      </c>
      <c r="P168" s="9">
        <f>IFERROR(INDEX('White Wine Fridge'!$F$2:$F$300,MATCH(A168,'White Wine Fridge'!$A$2:$A$300,0)),0)</f>
        <v>0</v>
      </c>
      <c r="Q168" s="9">
        <f>IFERROR(INDEX('Lower Keg'!$F$2:$F$300,MATCH(A168,'Lower Keg'!$A$2:$A$300,0)),0)</f>
        <v>0</v>
      </c>
      <c r="R168" s="9">
        <f>IFERROR(INDEX('Botanical Storeroom'!$F$2:$F$300,MATCH(A168,'Botanical Storeroom'!$A$2:$A$300,0)),0)</f>
        <v>0</v>
      </c>
      <c r="S168" s="9">
        <f>IFERROR(INDEX('Botanical Bar'!$F$2:$F$300,MATCH(A168,'Botanical Bar'!$A$2:$A$300,0)),0)</f>
        <v>0</v>
      </c>
      <c r="T168" s="9">
        <f>IFERROR(INDEX('Loading Dock Fridge'!$F$2:$F$300,MATCH(A168,'Loading Dock Fridge'!$A$2:$A$300,0)),0)</f>
        <v>0</v>
      </c>
      <c r="U168" s="9">
        <f>IFERROR(INDEX('Postmix Loading Dock'!$F$2:$F$300,MATCH(A168,'Postmix Loading Dock'!$A$2:$A$300,0)),0)</f>
        <v>0</v>
      </c>
      <c r="V168" s="9">
        <f>IFERROR(INDEX('Postmix Lower Keg'!$F$2:$F$300,MATCH(A168,'Postmix Lower Keg'!$A$2:$A$300,0)),0)</f>
        <v>0</v>
      </c>
      <c r="W168" s="10">
        <f>IFERROR(INDEX('Postmix TWR'!$F$2:$F$300,MATCH(A168,'Postmix TWR'!$A$2:$A$300,0)),0)</f>
        <v>0</v>
      </c>
    </row>
    <row r="169" spans="1:23" x14ac:dyDescent="0.35">
      <c r="A169" s="8">
        <v>56072</v>
      </c>
      <c r="B169" s="9" t="s">
        <v>226</v>
      </c>
      <c r="C169" s="9" t="s">
        <v>227</v>
      </c>
      <c r="D169" s="9" t="s">
        <v>229</v>
      </c>
      <c r="E169" s="17">
        <v>6</v>
      </c>
      <c r="F169" s="23">
        <f t="shared" si="5"/>
        <v>0</v>
      </c>
      <c r="G169" s="9">
        <f>IFERROR(INDEX('Juice Fridge'!$F$2:$F$300,MATCH(A169,'Juice Fridge'!$A$2:$A$300,0)),0)</f>
        <v>0</v>
      </c>
      <c r="H169" s="9">
        <f>IFERROR(INDEX('Upper Keg'!$F$2:$F$300,MATCH(A169,'Upper Keg'!$A$2:$A$300,0)),0)</f>
        <v>0</v>
      </c>
      <c r="I169" s="9">
        <f>IFERROR(INDEX('Astral Bar'!$F$2:$F$300,MATCH(A169,'Astral Bar'!$A$2:$A$300,0)),0)</f>
        <v>0</v>
      </c>
      <c r="J169" s="9">
        <f>IFERROR(INDEX('GB1 Bar'!$F$2:$F$300,MATCH(A169,'GB1 Bar'!$A$2:$A$300,0)),0)</f>
        <v>0</v>
      </c>
      <c r="K169" s="9">
        <f>IFERROR(INDEX('GB2 Bar'!$F$2:$F$300,MATCH(A169,'GB2 Bar'!$A$2:$A$300,0)),0)</f>
        <v>0</v>
      </c>
      <c r="L169" s="9">
        <f>IFERROR(INDEX('CB1 Bar'!$F$2:$F$300,MATCH(A169,'CB1 Bar'!$A$2:$A$300,0)),0)</f>
        <v>0</v>
      </c>
      <c r="M169" s="9">
        <f>IFERROR(INDEX('CB2 Bar'!$F$2:$F$300,MATCH(A169,'CB2 Bar'!$A$2:$A$300,0)),0)</f>
        <v>0</v>
      </c>
      <c r="N169" s="9">
        <f>IFERROR(INDEX('CB3 Bar'!$F$2:$F$300,MATCH(A169,'CB3 Bar'!$A$2:$A$300,0)),0)</f>
        <v>0</v>
      </c>
      <c r="O169" s="9">
        <f>IFERROR(INDEX('Spirits Room'!$F$2:$F$300,MATCH(A169,'Spirits Room'!$A$2:$A$300,0)),0)</f>
        <v>0</v>
      </c>
      <c r="P169" s="9">
        <f>IFERROR(INDEX('White Wine Fridge'!$F$2:$F$300,MATCH(A169,'White Wine Fridge'!$A$2:$A$300,0)),0)</f>
        <v>0</v>
      </c>
      <c r="Q169" s="9">
        <f>IFERROR(INDEX('Lower Keg'!$F$2:$F$300,MATCH(A169,'Lower Keg'!$A$2:$A$300,0)),0)</f>
        <v>0</v>
      </c>
      <c r="R169" s="9">
        <f>IFERROR(INDEX('Botanical Storeroom'!$F$2:$F$300,MATCH(A169,'Botanical Storeroom'!$A$2:$A$300,0)),0)</f>
        <v>0</v>
      </c>
      <c r="S169" s="9">
        <f>IFERROR(INDEX('Botanical Bar'!$F$2:$F$300,MATCH(A169,'Botanical Bar'!$A$2:$A$300,0)),0)</f>
        <v>0</v>
      </c>
      <c r="T169" s="9">
        <f>IFERROR(INDEX('Loading Dock Fridge'!$F$2:$F$300,MATCH(A169,'Loading Dock Fridge'!$A$2:$A$300,0)),0)</f>
        <v>0</v>
      </c>
      <c r="U169" s="9">
        <f>IFERROR(INDEX('Postmix Loading Dock'!$F$2:$F$300,MATCH(A169,'Postmix Loading Dock'!$A$2:$A$300,0)),0)</f>
        <v>0</v>
      </c>
      <c r="V169" s="9">
        <f>IFERROR(INDEX('Postmix Lower Keg'!$F$2:$F$300,MATCH(A169,'Postmix Lower Keg'!$A$2:$A$300,0)),0)</f>
        <v>0</v>
      </c>
      <c r="W169" s="10">
        <f>IFERROR(INDEX('Postmix TWR'!$F$2:$F$300,MATCH(A169,'Postmix TWR'!$A$2:$A$300,0)),0)</f>
        <v>0</v>
      </c>
    </row>
    <row r="170" spans="1:23" x14ac:dyDescent="0.35">
      <c r="A170" s="8">
        <v>9350</v>
      </c>
      <c r="B170" s="9" t="s">
        <v>226</v>
      </c>
      <c r="C170" s="9" t="s">
        <v>227</v>
      </c>
      <c r="D170" s="9" t="s">
        <v>230</v>
      </c>
      <c r="E170" s="17">
        <v>12</v>
      </c>
      <c r="F170" s="23">
        <f t="shared" si="5"/>
        <v>0</v>
      </c>
      <c r="G170" s="9">
        <f>IFERROR(INDEX('Juice Fridge'!$F$2:$F$300,MATCH(A170,'Juice Fridge'!$A$2:$A$300,0)),0)</f>
        <v>0</v>
      </c>
      <c r="H170" s="9">
        <f>IFERROR(INDEX('Upper Keg'!$F$2:$F$300,MATCH(A170,'Upper Keg'!$A$2:$A$300,0)),0)</f>
        <v>0</v>
      </c>
      <c r="I170" s="9">
        <f>IFERROR(INDEX('Astral Bar'!$F$2:$F$300,MATCH(A170,'Astral Bar'!$A$2:$A$300,0)),0)</f>
        <v>0</v>
      </c>
      <c r="J170" s="9">
        <f>IFERROR(INDEX('GB1 Bar'!$F$2:$F$300,MATCH(A170,'GB1 Bar'!$A$2:$A$300,0)),0)</f>
        <v>0</v>
      </c>
      <c r="K170" s="9">
        <f>IFERROR(INDEX('GB2 Bar'!$F$2:$F$300,MATCH(A170,'GB2 Bar'!$A$2:$A$300,0)),0)</f>
        <v>0</v>
      </c>
      <c r="L170" s="9">
        <f>IFERROR(INDEX('CB1 Bar'!$F$2:$F$300,MATCH(A170,'CB1 Bar'!$A$2:$A$300,0)),0)</f>
        <v>0</v>
      </c>
      <c r="M170" s="9">
        <f>IFERROR(INDEX('CB2 Bar'!$F$2:$F$300,MATCH(A170,'CB2 Bar'!$A$2:$A$300,0)),0)</f>
        <v>0</v>
      </c>
      <c r="N170" s="9">
        <f>IFERROR(INDEX('CB3 Bar'!$F$2:$F$300,MATCH(A170,'CB3 Bar'!$A$2:$A$300,0)),0)</f>
        <v>0</v>
      </c>
      <c r="O170" s="9">
        <f>IFERROR(INDEX('Spirits Room'!$F$2:$F$300,MATCH(A170,'Spirits Room'!$A$2:$A$300,0)),0)</f>
        <v>0</v>
      </c>
      <c r="P170" s="9">
        <f>IFERROR(INDEX('White Wine Fridge'!$F$2:$F$300,MATCH(A170,'White Wine Fridge'!$A$2:$A$300,0)),0)</f>
        <v>0</v>
      </c>
      <c r="Q170" s="9">
        <f>IFERROR(INDEX('Lower Keg'!$F$2:$F$300,MATCH(A170,'Lower Keg'!$A$2:$A$300,0)),0)</f>
        <v>0</v>
      </c>
      <c r="R170" s="9">
        <f>IFERROR(INDEX('Botanical Storeroom'!$F$2:$F$300,MATCH(A170,'Botanical Storeroom'!$A$2:$A$300,0)),0)</f>
        <v>0</v>
      </c>
      <c r="S170" s="9">
        <f>IFERROR(INDEX('Botanical Bar'!$F$2:$F$300,MATCH(A170,'Botanical Bar'!$A$2:$A$300,0)),0)</f>
        <v>0</v>
      </c>
      <c r="T170" s="9">
        <f>IFERROR(INDEX('Loading Dock Fridge'!$F$2:$F$300,MATCH(A170,'Loading Dock Fridge'!$A$2:$A$300,0)),0)</f>
        <v>0</v>
      </c>
      <c r="U170" s="9">
        <f>IFERROR(INDEX('Postmix Loading Dock'!$F$2:$F$300,MATCH(A170,'Postmix Loading Dock'!$A$2:$A$300,0)),0)</f>
        <v>0</v>
      </c>
      <c r="V170" s="9">
        <f>IFERROR(INDEX('Postmix Lower Keg'!$F$2:$F$300,MATCH(A170,'Postmix Lower Keg'!$A$2:$A$300,0)),0)</f>
        <v>0</v>
      </c>
      <c r="W170" s="10">
        <f>IFERROR(INDEX('Postmix TWR'!$F$2:$F$300,MATCH(A170,'Postmix TWR'!$A$2:$A$300,0)),0)</f>
        <v>0</v>
      </c>
    </row>
    <row r="171" spans="1:23" x14ac:dyDescent="0.35">
      <c r="A171" s="8">
        <v>56324</v>
      </c>
      <c r="B171" s="9" t="s">
        <v>226</v>
      </c>
      <c r="C171" s="9" t="s">
        <v>227</v>
      </c>
      <c r="D171" s="9" t="s">
        <v>231</v>
      </c>
      <c r="E171" s="17">
        <v>6</v>
      </c>
      <c r="F171" s="23">
        <f t="shared" si="5"/>
        <v>0</v>
      </c>
      <c r="G171" s="9">
        <f>IFERROR(INDEX('Juice Fridge'!$F$2:$F$300,MATCH(A171,'Juice Fridge'!$A$2:$A$300,0)),0)</f>
        <v>0</v>
      </c>
      <c r="H171" s="9">
        <f>IFERROR(INDEX('Upper Keg'!$F$2:$F$300,MATCH(A171,'Upper Keg'!$A$2:$A$300,0)),0)</f>
        <v>0</v>
      </c>
      <c r="I171" s="9">
        <f>IFERROR(INDEX('Astral Bar'!$F$2:$F$300,MATCH(A171,'Astral Bar'!$A$2:$A$300,0)),0)</f>
        <v>0</v>
      </c>
      <c r="J171" s="9">
        <f>IFERROR(INDEX('GB1 Bar'!$F$2:$F$300,MATCH(A171,'GB1 Bar'!$A$2:$A$300,0)),0)</f>
        <v>0</v>
      </c>
      <c r="K171" s="9">
        <f>IFERROR(INDEX('GB2 Bar'!$F$2:$F$300,MATCH(A171,'GB2 Bar'!$A$2:$A$300,0)),0)</f>
        <v>0</v>
      </c>
      <c r="L171" s="9">
        <f>IFERROR(INDEX('CB1 Bar'!$F$2:$F$300,MATCH(A171,'CB1 Bar'!$A$2:$A$300,0)),0)</f>
        <v>0</v>
      </c>
      <c r="M171" s="9">
        <f>IFERROR(INDEX('CB2 Bar'!$F$2:$F$300,MATCH(A171,'CB2 Bar'!$A$2:$A$300,0)),0)</f>
        <v>0</v>
      </c>
      <c r="N171" s="9">
        <f>IFERROR(INDEX('CB3 Bar'!$F$2:$F$300,MATCH(A171,'CB3 Bar'!$A$2:$A$300,0)),0)</f>
        <v>0</v>
      </c>
      <c r="O171" s="9">
        <f>IFERROR(INDEX('Spirits Room'!$F$2:$F$300,MATCH(A171,'Spirits Room'!$A$2:$A$300,0)),0)</f>
        <v>0</v>
      </c>
      <c r="P171" s="9">
        <f>IFERROR(INDEX('White Wine Fridge'!$F$2:$F$300,MATCH(A171,'White Wine Fridge'!$A$2:$A$300,0)),0)</f>
        <v>0</v>
      </c>
      <c r="Q171" s="9">
        <f>IFERROR(INDEX('Lower Keg'!$F$2:$F$300,MATCH(A171,'Lower Keg'!$A$2:$A$300,0)),0)</f>
        <v>0</v>
      </c>
      <c r="R171" s="9">
        <f>IFERROR(INDEX('Botanical Storeroom'!$F$2:$F$300,MATCH(A171,'Botanical Storeroom'!$A$2:$A$300,0)),0)</f>
        <v>0</v>
      </c>
      <c r="S171" s="9">
        <f>IFERROR(INDEX('Botanical Bar'!$F$2:$F$300,MATCH(A171,'Botanical Bar'!$A$2:$A$300,0)),0)</f>
        <v>0</v>
      </c>
      <c r="T171" s="9">
        <f>IFERROR(INDEX('Loading Dock Fridge'!$F$2:$F$300,MATCH(A171,'Loading Dock Fridge'!$A$2:$A$300,0)),0)</f>
        <v>0</v>
      </c>
      <c r="U171" s="9">
        <f>IFERROR(INDEX('Postmix Loading Dock'!$F$2:$F$300,MATCH(A171,'Postmix Loading Dock'!$A$2:$A$300,0)),0)</f>
        <v>0</v>
      </c>
      <c r="V171" s="9">
        <f>IFERROR(INDEX('Postmix Lower Keg'!$F$2:$F$300,MATCH(A171,'Postmix Lower Keg'!$A$2:$A$300,0)),0)</f>
        <v>0</v>
      </c>
      <c r="W171" s="10">
        <f>IFERROR(INDEX('Postmix TWR'!$F$2:$F$300,MATCH(A171,'Postmix TWR'!$A$2:$A$300,0)),0)</f>
        <v>0</v>
      </c>
    </row>
    <row r="172" spans="1:23" x14ac:dyDescent="0.35">
      <c r="A172" s="8">
        <v>47825</v>
      </c>
      <c r="B172" s="9" t="s">
        <v>226</v>
      </c>
      <c r="C172" s="9" t="s">
        <v>227</v>
      </c>
      <c r="D172" s="9" t="s">
        <v>232</v>
      </c>
      <c r="E172" s="17">
        <v>6</v>
      </c>
      <c r="F172" s="23">
        <f t="shared" si="5"/>
        <v>0</v>
      </c>
      <c r="G172" s="9">
        <f>IFERROR(INDEX('Juice Fridge'!$F$2:$F$300,MATCH(A172,'Juice Fridge'!$A$2:$A$300,0)),0)</f>
        <v>0</v>
      </c>
      <c r="H172" s="9">
        <f>IFERROR(INDEX('Upper Keg'!$F$2:$F$300,MATCH(A172,'Upper Keg'!$A$2:$A$300,0)),0)</f>
        <v>0</v>
      </c>
      <c r="I172" s="9">
        <f>IFERROR(INDEX('Astral Bar'!$F$2:$F$300,MATCH(A172,'Astral Bar'!$A$2:$A$300,0)),0)</f>
        <v>0</v>
      </c>
      <c r="J172" s="9">
        <f>IFERROR(INDEX('GB1 Bar'!$F$2:$F$300,MATCH(A172,'GB1 Bar'!$A$2:$A$300,0)),0)</f>
        <v>0</v>
      </c>
      <c r="K172" s="9">
        <f>IFERROR(INDEX('GB2 Bar'!$F$2:$F$300,MATCH(A172,'GB2 Bar'!$A$2:$A$300,0)),0)</f>
        <v>0</v>
      </c>
      <c r="L172" s="9">
        <f>IFERROR(INDEX('CB1 Bar'!$F$2:$F$300,MATCH(A172,'CB1 Bar'!$A$2:$A$300,0)),0)</f>
        <v>0</v>
      </c>
      <c r="M172" s="9">
        <f>IFERROR(INDEX('CB2 Bar'!$F$2:$F$300,MATCH(A172,'CB2 Bar'!$A$2:$A$300,0)),0)</f>
        <v>0</v>
      </c>
      <c r="N172" s="9">
        <f>IFERROR(INDEX('CB3 Bar'!$F$2:$F$300,MATCH(A172,'CB3 Bar'!$A$2:$A$300,0)),0)</f>
        <v>0</v>
      </c>
      <c r="O172" s="9">
        <f>IFERROR(INDEX('Spirits Room'!$F$2:$F$300,MATCH(A172,'Spirits Room'!$A$2:$A$300,0)),0)</f>
        <v>0</v>
      </c>
      <c r="P172" s="9">
        <f>IFERROR(INDEX('White Wine Fridge'!$F$2:$F$300,MATCH(A172,'White Wine Fridge'!$A$2:$A$300,0)),0)</f>
        <v>0</v>
      </c>
      <c r="Q172" s="9">
        <f>IFERROR(INDEX('Lower Keg'!$F$2:$F$300,MATCH(A172,'Lower Keg'!$A$2:$A$300,0)),0)</f>
        <v>0</v>
      </c>
      <c r="R172" s="9">
        <f>IFERROR(INDEX('Botanical Storeroom'!$F$2:$F$300,MATCH(A172,'Botanical Storeroom'!$A$2:$A$300,0)),0)</f>
        <v>0</v>
      </c>
      <c r="S172" s="9">
        <f>IFERROR(INDEX('Botanical Bar'!$F$2:$F$300,MATCH(A172,'Botanical Bar'!$A$2:$A$300,0)),0)</f>
        <v>0</v>
      </c>
      <c r="T172" s="9">
        <f>IFERROR(INDEX('Loading Dock Fridge'!$F$2:$F$300,MATCH(A172,'Loading Dock Fridge'!$A$2:$A$300,0)),0)</f>
        <v>0</v>
      </c>
      <c r="U172" s="9">
        <f>IFERROR(INDEX('Postmix Loading Dock'!$F$2:$F$300,MATCH(A172,'Postmix Loading Dock'!$A$2:$A$300,0)),0)</f>
        <v>0</v>
      </c>
      <c r="V172" s="9">
        <f>IFERROR(INDEX('Postmix Lower Keg'!$F$2:$F$300,MATCH(A172,'Postmix Lower Keg'!$A$2:$A$300,0)),0)</f>
        <v>0</v>
      </c>
      <c r="W172" s="10">
        <f>IFERROR(INDEX('Postmix TWR'!$F$2:$F$300,MATCH(A172,'Postmix TWR'!$A$2:$A$300,0)),0)</f>
        <v>0</v>
      </c>
    </row>
    <row r="173" spans="1:23" x14ac:dyDescent="0.35">
      <c r="A173" s="8">
        <v>55602</v>
      </c>
      <c r="B173" s="9" t="s">
        <v>226</v>
      </c>
      <c r="C173" s="9" t="s">
        <v>227</v>
      </c>
      <c r="D173" s="9" t="s">
        <v>233</v>
      </c>
      <c r="E173" s="17">
        <v>6</v>
      </c>
      <c r="F173" s="23">
        <f t="shared" si="5"/>
        <v>0</v>
      </c>
      <c r="G173" s="9">
        <f>IFERROR(INDEX('Juice Fridge'!$F$2:$F$300,MATCH(A173,'Juice Fridge'!$A$2:$A$300,0)),0)</f>
        <v>0</v>
      </c>
      <c r="H173" s="9">
        <f>IFERROR(INDEX('Upper Keg'!$F$2:$F$300,MATCH(A173,'Upper Keg'!$A$2:$A$300,0)),0)</f>
        <v>0</v>
      </c>
      <c r="I173" s="9">
        <f>IFERROR(INDEX('Astral Bar'!$F$2:$F$300,MATCH(A173,'Astral Bar'!$A$2:$A$300,0)),0)</f>
        <v>0</v>
      </c>
      <c r="J173" s="9">
        <f>IFERROR(INDEX('GB1 Bar'!$F$2:$F$300,MATCH(A173,'GB1 Bar'!$A$2:$A$300,0)),0)</f>
        <v>0</v>
      </c>
      <c r="K173" s="9">
        <f>IFERROR(INDEX('GB2 Bar'!$F$2:$F$300,MATCH(A173,'GB2 Bar'!$A$2:$A$300,0)),0)</f>
        <v>0</v>
      </c>
      <c r="L173" s="9">
        <f>IFERROR(INDEX('CB1 Bar'!$F$2:$F$300,MATCH(A173,'CB1 Bar'!$A$2:$A$300,0)),0)</f>
        <v>0</v>
      </c>
      <c r="M173" s="9">
        <f>IFERROR(INDEX('CB2 Bar'!$F$2:$F$300,MATCH(A173,'CB2 Bar'!$A$2:$A$300,0)),0)</f>
        <v>0</v>
      </c>
      <c r="N173" s="9">
        <f>IFERROR(INDEX('CB3 Bar'!$F$2:$F$300,MATCH(A173,'CB3 Bar'!$A$2:$A$300,0)),0)</f>
        <v>0</v>
      </c>
      <c r="O173" s="9">
        <f>IFERROR(INDEX('Spirits Room'!$F$2:$F$300,MATCH(A173,'Spirits Room'!$A$2:$A$300,0)),0)</f>
        <v>0</v>
      </c>
      <c r="P173" s="9">
        <f>IFERROR(INDEX('White Wine Fridge'!$F$2:$F$300,MATCH(A173,'White Wine Fridge'!$A$2:$A$300,0)),0)</f>
        <v>0</v>
      </c>
      <c r="Q173" s="9">
        <f>IFERROR(INDEX('Lower Keg'!$F$2:$F$300,MATCH(A173,'Lower Keg'!$A$2:$A$300,0)),0)</f>
        <v>0</v>
      </c>
      <c r="R173" s="9">
        <f>IFERROR(INDEX('Botanical Storeroom'!$F$2:$F$300,MATCH(A173,'Botanical Storeroom'!$A$2:$A$300,0)),0)</f>
        <v>0</v>
      </c>
      <c r="S173" s="9">
        <f>IFERROR(INDEX('Botanical Bar'!$F$2:$F$300,MATCH(A173,'Botanical Bar'!$A$2:$A$300,0)),0)</f>
        <v>0</v>
      </c>
      <c r="T173" s="9">
        <f>IFERROR(INDEX('Loading Dock Fridge'!$F$2:$F$300,MATCH(A173,'Loading Dock Fridge'!$A$2:$A$300,0)),0)</f>
        <v>0</v>
      </c>
      <c r="U173" s="9">
        <f>IFERROR(INDEX('Postmix Loading Dock'!$F$2:$F$300,MATCH(A173,'Postmix Loading Dock'!$A$2:$A$300,0)),0)</f>
        <v>0</v>
      </c>
      <c r="V173" s="9">
        <f>IFERROR(INDEX('Postmix Lower Keg'!$F$2:$F$300,MATCH(A173,'Postmix Lower Keg'!$A$2:$A$300,0)),0)</f>
        <v>0</v>
      </c>
      <c r="W173" s="10">
        <f>IFERROR(INDEX('Postmix TWR'!$F$2:$F$300,MATCH(A173,'Postmix TWR'!$A$2:$A$300,0)),0)</f>
        <v>0</v>
      </c>
    </row>
    <row r="174" spans="1:23" x14ac:dyDescent="0.35">
      <c r="A174" s="8">
        <v>35051</v>
      </c>
      <c r="B174" s="9" t="s">
        <v>226</v>
      </c>
      <c r="C174" s="9" t="s">
        <v>227</v>
      </c>
      <c r="D174" s="9" t="s">
        <v>234</v>
      </c>
      <c r="E174" s="17">
        <v>6</v>
      </c>
      <c r="F174" s="23">
        <f t="shared" si="5"/>
        <v>0</v>
      </c>
      <c r="G174" s="9">
        <f>IFERROR(INDEX('Juice Fridge'!$F$2:$F$300,MATCH(A174,'Juice Fridge'!$A$2:$A$300,0)),0)</f>
        <v>0</v>
      </c>
      <c r="H174" s="9">
        <f>IFERROR(INDEX('Upper Keg'!$F$2:$F$300,MATCH(A174,'Upper Keg'!$A$2:$A$300,0)),0)</f>
        <v>0</v>
      </c>
      <c r="I174" s="9">
        <f>IFERROR(INDEX('Astral Bar'!$F$2:$F$300,MATCH(A174,'Astral Bar'!$A$2:$A$300,0)),0)</f>
        <v>0</v>
      </c>
      <c r="J174" s="9">
        <f>IFERROR(INDEX('GB1 Bar'!$F$2:$F$300,MATCH(A174,'GB1 Bar'!$A$2:$A$300,0)),0)</f>
        <v>0</v>
      </c>
      <c r="K174" s="9">
        <f>IFERROR(INDEX('GB2 Bar'!$F$2:$F$300,MATCH(A174,'GB2 Bar'!$A$2:$A$300,0)),0)</f>
        <v>0</v>
      </c>
      <c r="L174" s="9">
        <f>IFERROR(INDEX('CB1 Bar'!$F$2:$F$300,MATCH(A174,'CB1 Bar'!$A$2:$A$300,0)),0)</f>
        <v>0</v>
      </c>
      <c r="M174" s="9">
        <f>IFERROR(INDEX('CB2 Bar'!$F$2:$F$300,MATCH(A174,'CB2 Bar'!$A$2:$A$300,0)),0)</f>
        <v>0</v>
      </c>
      <c r="N174" s="9">
        <f>IFERROR(INDEX('CB3 Bar'!$F$2:$F$300,MATCH(A174,'CB3 Bar'!$A$2:$A$300,0)),0)</f>
        <v>0</v>
      </c>
      <c r="O174" s="9">
        <f>IFERROR(INDEX('Spirits Room'!$F$2:$F$300,MATCH(A174,'Spirits Room'!$A$2:$A$300,0)),0)</f>
        <v>0</v>
      </c>
      <c r="P174" s="9">
        <f>IFERROR(INDEX('White Wine Fridge'!$F$2:$F$300,MATCH(A174,'White Wine Fridge'!$A$2:$A$300,0)),0)</f>
        <v>0</v>
      </c>
      <c r="Q174" s="9">
        <f>IFERROR(INDEX('Lower Keg'!$F$2:$F$300,MATCH(A174,'Lower Keg'!$A$2:$A$300,0)),0)</f>
        <v>0</v>
      </c>
      <c r="R174" s="9">
        <f>IFERROR(INDEX('Botanical Storeroom'!$F$2:$F$300,MATCH(A174,'Botanical Storeroom'!$A$2:$A$300,0)),0)</f>
        <v>0</v>
      </c>
      <c r="S174" s="9">
        <f>IFERROR(INDEX('Botanical Bar'!$F$2:$F$300,MATCH(A174,'Botanical Bar'!$A$2:$A$300,0)),0)</f>
        <v>0</v>
      </c>
      <c r="T174" s="9">
        <f>IFERROR(INDEX('Loading Dock Fridge'!$F$2:$F$300,MATCH(A174,'Loading Dock Fridge'!$A$2:$A$300,0)),0)</f>
        <v>0</v>
      </c>
      <c r="U174" s="9">
        <f>IFERROR(INDEX('Postmix Loading Dock'!$F$2:$F$300,MATCH(A174,'Postmix Loading Dock'!$A$2:$A$300,0)),0)</f>
        <v>0</v>
      </c>
      <c r="V174" s="9">
        <f>IFERROR(INDEX('Postmix Lower Keg'!$F$2:$F$300,MATCH(A174,'Postmix Lower Keg'!$A$2:$A$300,0)),0)</f>
        <v>0</v>
      </c>
      <c r="W174" s="10">
        <f>IFERROR(INDEX('Postmix TWR'!$F$2:$F$300,MATCH(A174,'Postmix TWR'!$A$2:$A$300,0)),0)</f>
        <v>0</v>
      </c>
    </row>
    <row r="175" spans="1:23" x14ac:dyDescent="0.35">
      <c r="A175" s="8">
        <v>35260</v>
      </c>
      <c r="B175" s="9" t="s">
        <v>226</v>
      </c>
      <c r="C175" s="9" t="s">
        <v>227</v>
      </c>
      <c r="D175" s="9" t="s">
        <v>235</v>
      </c>
      <c r="E175" s="17">
        <v>6</v>
      </c>
      <c r="F175" s="23">
        <f t="shared" si="5"/>
        <v>0</v>
      </c>
      <c r="G175" s="9">
        <f>IFERROR(INDEX('Juice Fridge'!$F$2:$F$300,MATCH(A175,'Juice Fridge'!$A$2:$A$300,0)),0)</f>
        <v>0</v>
      </c>
      <c r="H175" s="9">
        <f>IFERROR(INDEX('Upper Keg'!$F$2:$F$300,MATCH(A175,'Upper Keg'!$A$2:$A$300,0)),0)</f>
        <v>0</v>
      </c>
      <c r="I175" s="9">
        <f>IFERROR(INDEX('Astral Bar'!$F$2:$F$300,MATCH(A175,'Astral Bar'!$A$2:$A$300,0)),0)</f>
        <v>0</v>
      </c>
      <c r="J175" s="9">
        <f>IFERROR(INDEX('GB1 Bar'!$F$2:$F$300,MATCH(A175,'GB1 Bar'!$A$2:$A$300,0)),0)</f>
        <v>0</v>
      </c>
      <c r="K175" s="9">
        <f>IFERROR(INDEX('GB2 Bar'!$F$2:$F$300,MATCH(A175,'GB2 Bar'!$A$2:$A$300,0)),0)</f>
        <v>0</v>
      </c>
      <c r="L175" s="9">
        <f>IFERROR(INDEX('CB1 Bar'!$F$2:$F$300,MATCH(A175,'CB1 Bar'!$A$2:$A$300,0)),0)</f>
        <v>0</v>
      </c>
      <c r="M175" s="9">
        <f>IFERROR(INDEX('CB2 Bar'!$F$2:$F$300,MATCH(A175,'CB2 Bar'!$A$2:$A$300,0)),0)</f>
        <v>0</v>
      </c>
      <c r="N175" s="9">
        <f>IFERROR(INDEX('CB3 Bar'!$F$2:$F$300,MATCH(A175,'CB3 Bar'!$A$2:$A$300,0)),0)</f>
        <v>0</v>
      </c>
      <c r="O175" s="9">
        <f>IFERROR(INDEX('Spirits Room'!$F$2:$F$300,MATCH(A175,'Spirits Room'!$A$2:$A$300,0)),0)</f>
        <v>0</v>
      </c>
      <c r="P175" s="9">
        <f>IFERROR(INDEX('White Wine Fridge'!$F$2:$F$300,MATCH(A175,'White Wine Fridge'!$A$2:$A$300,0)),0)</f>
        <v>0</v>
      </c>
      <c r="Q175" s="9">
        <f>IFERROR(INDEX('Lower Keg'!$F$2:$F$300,MATCH(A175,'Lower Keg'!$A$2:$A$300,0)),0)</f>
        <v>0</v>
      </c>
      <c r="R175" s="9">
        <f>IFERROR(INDEX('Botanical Storeroom'!$F$2:$F$300,MATCH(A175,'Botanical Storeroom'!$A$2:$A$300,0)),0)</f>
        <v>0</v>
      </c>
      <c r="S175" s="9">
        <f>IFERROR(INDEX('Botanical Bar'!$F$2:$F$300,MATCH(A175,'Botanical Bar'!$A$2:$A$300,0)),0)</f>
        <v>0</v>
      </c>
      <c r="T175" s="9">
        <f>IFERROR(INDEX('Loading Dock Fridge'!$F$2:$F$300,MATCH(A175,'Loading Dock Fridge'!$A$2:$A$300,0)),0)</f>
        <v>0</v>
      </c>
      <c r="U175" s="9">
        <f>IFERROR(INDEX('Postmix Loading Dock'!$F$2:$F$300,MATCH(A175,'Postmix Loading Dock'!$A$2:$A$300,0)),0)</f>
        <v>0</v>
      </c>
      <c r="V175" s="9">
        <f>IFERROR(INDEX('Postmix Lower Keg'!$F$2:$F$300,MATCH(A175,'Postmix Lower Keg'!$A$2:$A$300,0)),0)</f>
        <v>0</v>
      </c>
      <c r="W175" s="10">
        <f>IFERROR(INDEX('Postmix TWR'!$F$2:$F$300,MATCH(A175,'Postmix TWR'!$A$2:$A$300,0)),0)</f>
        <v>0</v>
      </c>
    </row>
    <row r="176" spans="1:23" x14ac:dyDescent="0.35">
      <c r="A176" s="8">
        <v>44485</v>
      </c>
      <c r="B176" s="9" t="s">
        <v>226</v>
      </c>
      <c r="C176" s="9" t="s">
        <v>227</v>
      </c>
      <c r="D176" s="9" t="s">
        <v>236</v>
      </c>
      <c r="E176" s="17">
        <v>6</v>
      </c>
      <c r="F176" s="23">
        <f t="shared" si="5"/>
        <v>0</v>
      </c>
      <c r="G176" s="9">
        <f>IFERROR(INDEX('Juice Fridge'!$F$2:$F$300,MATCH(A176,'Juice Fridge'!$A$2:$A$300,0)),0)</f>
        <v>0</v>
      </c>
      <c r="H176" s="9">
        <f>IFERROR(INDEX('Upper Keg'!$F$2:$F$300,MATCH(A176,'Upper Keg'!$A$2:$A$300,0)),0)</f>
        <v>0</v>
      </c>
      <c r="I176" s="9">
        <f>IFERROR(INDEX('Astral Bar'!$F$2:$F$300,MATCH(A176,'Astral Bar'!$A$2:$A$300,0)),0)</f>
        <v>0</v>
      </c>
      <c r="J176" s="9">
        <f>IFERROR(INDEX('GB1 Bar'!$F$2:$F$300,MATCH(A176,'GB1 Bar'!$A$2:$A$300,0)),0)</f>
        <v>0</v>
      </c>
      <c r="K176" s="9">
        <f>IFERROR(INDEX('GB2 Bar'!$F$2:$F$300,MATCH(A176,'GB2 Bar'!$A$2:$A$300,0)),0)</f>
        <v>0</v>
      </c>
      <c r="L176" s="9">
        <f>IFERROR(INDEX('CB1 Bar'!$F$2:$F$300,MATCH(A176,'CB1 Bar'!$A$2:$A$300,0)),0)</f>
        <v>0</v>
      </c>
      <c r="M176" s="9">
        <f>IFERROR(INDEX('CB2 Bar'!$F$2:$F$300,MATCH(A176,'CB2 Bar'!$A$2:$A$300,0)),0)</f>
        <v>0</v>
      </c>
      <c r="N176" s="9">
        <f>IFERROR(INDEX('CB3 Bar'!$F$2:$F$300,MATCH(A176,'CB3 Bar'!$A$2:$A$300,0)),0)</f>
        <v>0</v>
      </c>
      <c r="O176" s="9">
        <f>IFERROR(INDEX('Spirits Room'!$F$2:$F$300,MATCH(A176,'Spirits Room'!$A$2:$A$300,0)),0)</f>
        <v>0</v>
      </c>
      <c r="P176" s="9">
        <f>IFERROR(INDEX('White Wine Fridge'!$F$2:$F$300,MATCH(A176,'White Wine Fridge'!$A$2:$A$300,0)),0)</f>
        <v>0</v>
      </c>
      <c r="Q176" s="9">
        <f>IFERROR(INDEX('Lower Keg'!$F$2:$F$300,MATCH(A176,'Lower Keg'!$A$2:$A$300,0)),0)</f>
        <v>0</v>
      </c>
      <c r="R176" s="9">
        <f>IFERROR(INDEX('Botanical Storeroom'!$F$2:$F$300,MATCH(A176,'Botanical Storeroom'!$A$2:$A$300,0)),0)</f>
        <v>0</v>
      </c>
      <c r="S176" s="9">
        <f>IFERROR(INDEX('Botanical Bar'!$F$2:$F$300,MATCH(A176,'Botanical Bar'!$A$2:$A$300,0)),0)</f>
        <v>0</v>
      </c>
      <c r="T176" s="9">
        <f>IFERROR(INDEX('Loading Dock Fridge'!$F$2:$F$300,MATCH(A176,'Loading Dock Fridge'!$A$2:$A$300,0)),0)</f>
        <v>0</v>
      </c>
      <c r="U176" s="9">
        <f>IFERROR(INDEX('Postmix Loading Dock'!$F$2:$F$300,MATCH(A176,'Postmix Loading Dock'!$A$2:$A$300,0)),0)</f>
        <v>0</v>
      </c>
      <c r="V176" s="9">
        <f>IFERROR(INDEX('Postmix Lower Keg'!$F$2:$F$300,MATCH(A176,'Postmix Lower Keg'!$A$2:$A$300,0)),0)</f>
        <v>0</v>
      </c>
      <c r="W176" s="10">
        <f>IFERROR(INDEX('Postmix TWR'!$F$2:$F$300,MATCH(A176,'Postmix TWR'!$A$2:$A$300,0)),0)</f>
        <v>0</v>
      </c>
    </row>
    <row r="177" spans="1:23" x14ac:dyDescent="0.35">
      <c r="A177" s="8">
        <v>20430</v>
      </c>
      <c r="B177" s="9" t="s">
        <v>237</v>
      </c>
      <c r="C177" s="9" t="s">
        <v>227</v>
      </c>
      <c r="D177" s="9" t="s">
        <v>238</v>
      </c>
      <c r="E177" s="17">
        <v>6</v>
      </c>
      <c r="F177" s="23">
        <f t="shared" si="5"/>
        <v>0</v>
      </c>
      <c r="G177" s="9">
        <f>IFERROR(INDEX('Juice Fridge'!$F$2:$F$300,MATCH(A177,'Juice Fridge'!$A$2:$A$300,0)),0)</f>
        <v>0</v>
      </c>
      <c r="H177" s="9">
        <f>IFERROR(INDEX('Upper Keg'!$F$2:$F$300,MATCH(A177,'Upper Keg'!$A$2:$A$300,0)),0)</f>
        <v>0</v>
      </c>
      <c r="I177" s="9">
        <f>IFERROR(INDEX('Astral Bar'!$F$2:$F$300,MATCH(A177,'Astral Bar'!$A$2:$A$300,0)),0)</f>
        <v>0</v>
      </c>
      <c r="J177" s="9">
        <f>IFERROR(INDEX('GB1 Bar'!$F$2:$F$300,MATCH(A177,'GB1 Bar'!$A$2:$A$300,0)),0)</f>
        <v>0</v>
      </c>
      <c r="K177" s="9">
        <f>IFERROR(INDEX('GB2 Bar'!$F$2:$F$300,MATCH(A177,'GB2 Bar'!$A$2:$A$300,0)),0)</f>
        <v>0</v>
      </c>
      <c r="L177" s="9">
        <f>IFERROR(INDEX('CB1 Bar'!$F$2:$F$300,MATCH(A177,'CB1 Bar'!$A$2:$A$300,0)),0)</f>
        <v>0</v>
      </c>
      <c r="M177" s="9">
        <f>IFERROR(INDEX('CB2 Bar'!$F$2:$F$300,MATCH(A177,'CB2 Bar'!$A$2:$A$300,0)),0)</f>
        <v>0</v>
      </c>
      <c r="N177" s="9">
        <f>IFERROR(INDEX('CB3 Bar'!$F$2:$F$300,MATCH(A177,'CB3 Bar'!$A$2:$A$300,0)),0)</f>
        <v>0</v>
      </c>
      <c r="O177" s="9">
        <f>IFERROR(INDEX('Spirits Room'!$F$2:$F$300,MATCH(A177,'Spirits Room'!$A$2:$A$300,0)),0)</f>
        <v>0</v>
      </c>
      <c r="P177" s="9">
        <f>IFERROR(INDEX('White Wine Fridge'!$F$2:$F$300,MATCH(A177,'White Wine Fridge'!$A$2:$A$300,0)),0)</f>
        <v>0</v>
      </c>
      <c r="Q177" s="9">
        <f>IFERROR(INDEX('Lower Keg'!$F$2:$F$300,MATCH(A177,'Lower Keg'!$A$2:$A$300,0)),0)</f>
        <v>0</v>
      </c>
      <c r="R177" s="9">
        <f>IFERROR(INDEX('Botanical Storeroom'!$F$2:$F$300,MATCH(A177,'Botanical Storeroom'!$A$2:$A$300,0)),0)</f>
        <v>0</v>
      </c>
      <c r="S177" s="9">
        <f>IFERROR(INDEX('Botanical Bar'!$F$2:$F$300,MATCH(A177,'Botanical Bar'!$A$2:$A$300,0)),0)</f>
        <v>0</v>
      </c>
      <c r="T177" s="9">
        <f>IFERROR(INDEX('Loading Dock Fridge'!$F$2:$F$300,MATCH(A177,'Loading Dock Fridge'!$A$2:$A$300,0)),0)</f>
        <v>0</v>
      </c>
      <c r="U177" s="9">
        <f>IFERROR(INDEX('Postmix Loading Dock'!$F$2:$F$300,MATCH(A177,'Postmix Loading Dock'!$A$2:$A$300,0)),0)</f>
        <v>0</v>
      </c>
      <c r="V177" s="9">
        <f>IFERROR(INDEX('Postmix Lower Keg'!$F$2:$F$300,MATCH(A177,'Postmix Lower Keg'!$A$2:$A$300,0)),0)</f>
        <v>0</v>
      </c>
      <c r="W177" s="10">
        <f>IFERROR(INDEX('Postmix TWR'!$F$2:$F$300,MATCH(A177,'Postmix TWR'!$A$2:$A$300,0)),0)</f>
        <v>0</v>
      </c>
    </row>
    <row r="178" spans="1:23" x14ac:dyDescent="0.35">
      <c r="A178" s="8">
        <v>31617</v>
      </c>
      <c r="B178" s="9" t="s">
        <v>237</v>
      </c>
      <c r="C178" s="9" t="s">
        <v>227</v>
      </c>
      <c r="D178" s="9" t="s">
        <v>239</v>
      </c>
      <c r="E178" s="17">
        <v>6</v>
      </c>
      <c r="F178" s="23">
        <f t="shared" si="5"/>
        <v>0</v>
      </c>
      <c r="G178" s="9">
        <f>IFERROR(INDEX('Juice Fridge'!$F$2:$F$300,MATCH(A178,'Juice Fridge'!$A$2:$A$300,0)),0)</f>
        <v>0</v>
      </c>
      <c r="H178" s="9">
        <f>IFERROR(INDEX('Upper Keg'!$F$2:$F$300,MATCH(A178,'Upper Keg'!$A$2:$A$300,0)),0)</f>
        <v>0</v>
      </c>
      <c r="I178" s="9">
        <f>IFERROR(INDEX('Astral Bar'!$F$2:$F$300,MATCH(A178,'Astral Bar'!$A$2:$A$300,0)),0)</f>
        <v>0</v>
      </c>
      <c r="J178" s="9">
        <f>IFERROR(INDEX('GB1 Bar'!$F$2:$F$300,MATCH(A178,'GB1 Bar'!$A$2:$A$300,0)),0)</f>
        <v>0</v>
      </c>
      <c r="K178" s="9">
        <f>IFERROR(INDEX('GB2 Bar'!$F$2:$F$300,MATCH(A178,'GB2 Bar'!$A$2:$A$300,0)),0)</f>
        <v>0</v>
      </c>
      <c r="L178" s="9">
        <f>IFERROR(INDEX('CB1 Bar'!$F$2:$F$300,MATCH(A178,'CB1 Bar'!$A$2:$A$300,0)),0)</f>
        <v>0</v>
      </c>
      <c r="M178" s="9">
        <f>IFERROR(INDEX('CB2 Bar'!$F$2:$F$300,MATCH(A178,'CB2 Bar'!$A$2:$A$300,0)),0)</f>
        <v>0</v>
      </c>
      <c r="N178" s="9">
        <f>IFERROR(INDEX('CB3 Bar'!$F$2:$F$300,MATCH(A178,'CB3 Bar'!$A$2:$A$300,0)),0)</f>
        <v>0</v>
      </c>
      <c r="O178" s="9">
        <f>IFERROR(INDEX('Spirits Room'!$F$2:$F$300,MATCH(A178,'Spirits Room'!$A$2:$A$300,0)),0)</f>
        <v>0</v>
      </c>
      <c r="P178" s="9">
        <f>IFERROR(INDEX('White Wine Fridge'!$F$2:$F$300,MATCH(A178,'White Wine Fridge'!$A$2:$A$300,0)),0)</f>
        <v>0</v>
      </c>
      <c r="Q178" s="9">
        <f>IFERROR(INDEX('Lower Keg'!$F$2:$F$300,MATCH(A178,'Lower Keg'!$A$2:$A$300,0)),0)</f>
        <v>0</v>
      </c>
      <c r="R178" s="9">
        <f>IFERROR(INDEX('Botanical Storeroom'!$F$2:$F$300,MATCH(A178,'Botanical Storeroom'!$A$2:$A$300,0)),0)</f>
        <v>0</v>
      </c>
      <c r="S178" s="9">
        <f>IFERROR(INDEX('Botanical Bar'!$F$2:$F$300,MATCH(A178,'Botanical Bar'!$A$2:$A$300,0)),0)</f>
        <v>0</v>
      </c>
      <c r="T178" s="9">
        <f>IFERROR(INDEX('Loading Dock Fridge'!$F$2:$F$300,MATCH(A178,'Loading Dock Fridge'!$A$2:$A$300,0)),0)</f>
        <v>0</v>
      </c>
      <c r="U178" s="9">
        <f>IFERROR(INDEX('Postmix Loading Dock'!$F$2:$F$300,MATCH(A178,'Postmix Loading Dock'!$A$2:$A$300,0)),0)</f>
        <v>0</v>
      </c>
      <c r="V178" s="9">
        <f>IFERROR(INDEX('Postmix Lower Keg'!$F$2:$F$300,MATCH(A178,'Postmix Lower Keg'!$A$2:$A$300,0)),0)</f>
        <v>0</v>
      </c>
      <c r="W178" s="10">
        <f>IFERROR(INDEX('Postmix TWR'!$F$2:$F$300,MATCH(A178,'Postmix TWR'!$A$2:$A$300,0)),0)</f>
        <v>0</v>
      </c>
    </row>
    <row r="179" spans="1:23" x14ac:dyDescent="0.35">
      <c r="A179" s="8">
        <v>67291</v>
      </c>
      <c r="B179" s="9" t="s">
        <v>240</v>
      </c>
      <c r="C179" s="9" t="s">
        <v>227</v>
      </c>
      <c r="D179" s="9" t="s">
        <v>241</v>
      </c>
      <c r="E179" s="17">
        <v>6</v>
      </c>
      <c r="F179" s="23">
        <f t="shared" si="5"/>
        <v>0</v>
      </c>
      <c r="G179" s="9">
        <f>IFERROR(INDEX('Juice Fridge'!$F$2:$F$300,MATCH(A179,'Juice Fridge'!$A$2:$A$300,0)),0)</f>
        <v>0</v>
      </c>
      <c r="H179" s="9">
        <f>IFERROR(INDEX('Upper Keg'!$F$2:$F$300,MATCH(A179,'Upper Keg'!$A$2:$A$300,0)),0)</f>
        <v>0</v>
      </c>
      <c r="I179" s="9">
        <f>IFERROR(INDEX('Astral Bar'!$F$2:$F$300,MATCH(A179,'Astral Bar'!$A$2:$A$300,0)),0)</f>
        <v>0</v>
      </c>
      <c r="J179" s="9">
        <f>IFERROR(INDEX('GB1 Bar'!$F$2:$F$300,MATCH(A179,'GB1 Bar'!$A$2:$A$300,0)),0)</f>
        <v>0</v>
      </c>
      <c r="K179" s="9">
        <f>IFERROR(INDEX('GB2 Bar'!$F$2:$F$300,MATCH(A179,'GB2 Bar'!$A$2:$A$300,0)),0)</f>
        <v>0</v>
      </c>
      <c r="L179" s="9">
        <f>IFERROR(INDEX('CB1 Bar'!$F$2:$F$300,MATCH(A179,'CB1 Bar'!$A$2:$A$300,0)),0)</f>
        <v>0</v>
      </c>
      <c r="M179" s="9">
        <f>IFERROR(INDEX('CB2 Bar'!$F$2:$F$300,MATCH(A179,'CB2 Bar'!$A$2:$A$300,0)),0)</f>
        <v>0</v>
      </c>
      <c r="N179" s="9">
        <f>IFERROR(INDEX('CB3 Bar'!$F$2:$F$300,MATCH(A179,'CB3 Bar'!$A$2:$A$300,0)),0)</f>
        <v>0</v>
      </c>
      <c r="O179" s="9">
        <f>IFERROR(INDEX('Spirits Room'!$F$2:$F$300,MATCH(A179,'Spirits Room'!$A$2:$A$300,0)),0)</f>
        <v>0</v>
      </c>
      <c r="P179" s="9">
        <f>IFERROR(INDEX('White Wine Fridge'!$F$2:$F$300,MATCH(A179,'White Wine Fridge'!$A$2:$A$300,0)),0)</f>
        <v>0</v>
      </c>
      <c r="Q179" s="9">
        <f>IFERROR(INDEX('Lower Keg'!$F$2:$F$300,MATCH(A179,'Lower Keg'!$A$2:$A$300,0)),0)</f>
        <v>0</v>
      </c>
      <c r="R179" s="9">
        <f>IFERROR(INDEX('Botanical Storeroom'!$F$2:$F$300,MATCH(A179,'Botanical Storeroom'!$A$2:$A$300,0)),0)</f>
        <v>0</v>
      </c>
      <c r="S179" s="9">
        <f>IFERROR(INDEX('Botanical Bar'!$F$2:$F$300,MATCH(A179,'Botanical Bar'!$A$2:$A$300,0)),0)</f>
        <v>0</v>
      </c>
      <c r="T179" s="9">
        <f>IFERROR(INDEX('Loading Dock Fridge'!$F$2:$F$300,MATCH(A179,'Loading Dock Fridge'!$A$2:$A$300,0)),0)</f>
        <v>0</v>
      </c>
      <c r="U179" s="9">
        <f>IFERROR(INDEX('Postmix Loading Dock'!$F$2:$F$300,MATCH(A179,'Postmix Loading Dock'!$A$2:$A$300,0)),0)</f>
        <v>0</v>
      </c>
      <c r="V179" s="9">
        <f>IFERROR(INDEX('Postmix Lower Keg'!$F$2:$F$300,MATCH(A179,'Postmix Lower Keg'!$A$2:$A$300,0)),0)</f>
        <v>0</v>
      </c>
      <c r="W179" s="10">
        <f>IFERROR(INDEX('Postmix TWR'!$F$2:$F$300,MATCH(A179,'Postmix TWR'!$A$2:$A$300,0)),0)</f>
        <v>0</v>
      </c>
    </row>
    <row r="180" spans="1:23" x14ac:dyDescent="0.35">
      <c r="A180" s="8">
        <v>57711</v>
      </c>
      <c r="B180" s="9" t="s">
        <v>240</v>
      </c>
      <c r="C180" s="9" t="s">
        <v>227</v>
      </c>
      <c r="D180" s="9" t="s">
        <v>242</v>
      </c>
      <c r="E180" s="17">
        <v>12</v>
      </c>
      <c r="F180" s="23">
        <f t="shared" si="5"/>
        <v>0</v>
      </c>
      <c r="G180" s="9">
        <f>IFERROR(INDEX('Juice Fridge'!$F$2:$F$300,MATCH(A180,'Juice Fridge'!$A$2:$A$300,0)),0)</f>
        <v>0</v>
      </c>
      <c r="H180" s="9">
        <f>IFERROR(INDEX('Upper Keg'!$F$2:$F$300,MATCH(A180,'Upper Keg'!$A$2:$A$300,0)),0)</f>
        <v>0</v>
      </c>
      <c r="I180" s="9">
        <f>IFERROR(INDEX('Astral Bar'!$F$2:$F$300,MATCH(A180,'Astral Bar'!$A$2:$A$300,0)),0)</f>
        <v>0</v>
      </c>
      <c r="J180" s="9">
        <f>IFERROR(INDEX('GB1 Bar'!$F$2:$F$300,MATCH(A180,'GB1 Bar'!$A$2:$A$300,0)),0)</f>
        <v>0</v>
      </c>
      <c r="K180" s="9">
        <f>IFERROR(INDEX('GB2 Bar'!$F$2:$F$300,MATCH(A180,'GB2 Bar'!$A$2:$A$300,0)),0)</f>
        <v>0</v>
      </c>
      <c r="L180" s="9">
        <f>IFERROR(INDEX('CB1 Bar'!$F$2:$F$300,MATCH(A180,'CB1 Bar'!$A$2:$A$300,0)),0)</f>
        <v>0</v>
      </c>
      <c r="M180" s="9">
        <f>IFERROR(INDEX('CB2 Bar'!$F$2:$F$300,MATCH(A180,'CB2 Bar'!$A$2:$A$300,0)),0)</f>
        <v>0</v>
      </c>
      <c r="N180" s="9">
        <f>IFERROR(INDEX('CB3 Bar'!$F$2:$F$300,MATCH(A180,'CB3 Bar'!$A$2:$A$300,0)),0)</f>
        <v>0</v>
      </c>
      <c r="O180" s="9">
        <f>IFERROR(INDEX('Spirits Room'!$F$2:$F$300,MATCH(A180,'Spirits Room'!$A$2:$A$300,0)),0)</f>
        <v>0</v>
      </c>
      <c r="P180" s="9">
        <f>IFERROR(INDEX('White Wine Fridge'!$F$2:$F$300,MATCH(A180,'White Wine Fridge'!$A$2:$A$300,0)),0)</f>
        <v>0</v>
      </c>
      <c r="Q180" s="9">
        <f>IFERROR(INDEX('Lower Keg'!$F$2:$F$300,MATCH(A180,'Lower Keg'!$A$2:$A$300,0)),0)</f>
        <v>0</v>
      </c>
      <c r="R180" s="9">
        <f>IFERROR(INDEX('Botanical Storeroom'!$F$2:$F$300,MATCH(A180,'Botanical Storeroom'!$A$2:$A$300,0)),0)</f>
        <v>0</v>
      </c>
      <c r="S180" s="9">
        <f>IFERROR(INDEX('Botanical Bar'!$F$2:$F$300,MATCH(A180,'Botanical Bar'!$A$2:$A$300,0)),0)</f>
        <v>0</v>
      </c>
      <c r="T180" s="9">
        <f>IFERROR(INDEX('Loading Dock Fridge'!$F$2:$F$300,MATCH(A180,'Loading Dock Fridge'!$A$2:$A$300,0)),0)</f>
        <v>0</v>
      </c>
      <c r="U180" s="9">
        <f>IFERROR(INDEX('Postmix Loading Dock'!$F$2:$F$300,MATCH(A180,'Postmix Loading Dock'!$A$2:$A$300,0)),0)</f>
        <v>0</v>
      </c>
      <c r="V180" s="9">
        <f>IFERROR(INDEX('Postmix Lower Keg'!$F$2:$F$300,MATCH(A180,'Postmix Lower Keg'!$A$2:$A$300,0)),0)</f>
        <v>0</v>
      </c>
      <c r="W180" s="10">
        <f>IFERROR(INDEX('Postmix TWR'!$F$2:$F$300,MATCH(A180,'Postmix TWR'!$A$2:$A$300,0)),0)</f>
        <v>0</v>
      </c>
    </row>
    <row r="181" spans="1:23" x14ac:dyDescent="0.35">
      <c r="A181" s="8">
        <v>47463</v>
      </c>
      <c r="B181" s="9" t="s">
        <v>243</v>
      </c>
      <c r="C181" s="9" t="s">
        <v>227</v>
      </c>
      <c r="D181" s="9" t="s">
        <v>244</v>
      </c>
      <c r="E181" s="17">
        <v>12</v>
      </c>
      <c r="F181" s="23">
        <f t="shared" si="5"/>
        <v>0</v>
      </c>
      <c r="G181" s="9">
        <f>IFERROR(INDEX('Juice Fridge'!$F$2:$F$300,MATCH(A181,'Juice Fridge'!$A$2:$A$300,0)),0)</f>
        <v>0</v>
      </c>
      <c r="H181" s="9">
        <f>IFERROR(INDEX('Upper Keg'!$F$2:$F$300,MATCH(A181,'Upper Keg'!$A$2:$A$300,0)),0)</f>
        <v>0</v>
      </c>
      <c r="I181" s="9">
        <f>IFERROR(INDEX('Astral Bar'!$F$2:$F$300,MATCH(A181,'Astral Bar'!$A$2:$A$300,0)),0)</f>
        <v>0</v>
      </c>
      <c r="J181" s="9">
        <f>IFERROR(INDEX('GB1 Bar'!$F$2:$F$300,MATCH(A181,'GB1 Bar'!$A$2:$A$300,0)),0)</f>
        <v>0</v>
      </c>
      <c r="K181" s="9">
        <f>IFERROR(INDEX('GB2 Bar'!$F$2:$F$300,MATCH(A181,'GB2 Bar'!$A$2:$A$300,0)),0)</f>
        <v>0</v>
      </c>
      <c r="L181" s="9">
        <f>IFERROR(INDEX('CB1 Bar'!$F$2:$F$300,MATCH(A181,'CB1 Bar'!$A$2:$A$300,0)),0)</f>
        <v>0</v>
      </c>
      <c r="M181" s="9">
        <f>IFERROR(INDEX('CB2 Bar'!$F$2:$F$300,MATCH(A181,'CB2 Bar'!$A$2:$A$300,0)),0)</f>
        <v>0</v>
      </c>
      <c r="N181" s="9">
        <f>IFERROR(INDEX('CB3 Bar'!$F$2:$F$300,MATCH(A181,'CB3 Bar'!$A$2:$A$300,0)),0)</f>
        <v>0</v>
      </c>
      <c r="O181" s="9">
        <f>IFERROR(INDEX('Spirits Room'!$F$2:$F$300,MATCH(A181,'Spirits Room'!$A$2:$A$300,0)),0)</f>
        <v>0</v>
      </c>
      <c r="P181" s="9">
        <f>IFERROR(INDEX('White Wine Fridge'!$F$2:$F$300,MATCH(A181,'White Wine Fridge'!$A$2:$A$300,0)),0)</f>
        <v>0</v>
      </c>
      <c r="Q181" s="9">
        <f>IFERROR(INDEX('Lower Keg'!$F$2:$F$300,MATCH(A181,'Lower Keg'!$A$2:$A$300,0)),0)</f>
        <v>0</v>
      </c>
      <c r="R181" s="9">
        <f>IFERROR(INDEX('Botanical Storeroom'!$F$2:$F$300,MATCH(A181,'Botanical Storeroom'!$A$2:$A$300,0)),0)</f>
        <v>0</v>
      </c>
      <c r="S181" s="9">
        <f>IFERROR(INDEX('Botanical Bar'!$F$2:$F$300,MATCH(A181,'Botanical Bar'!$A$2:$A$300,0)),0)</f>
        <v>0</v>
      </c>
      <c r="T181" s="9">
        <f>IFERROR(INDEX('Loading Dock Fridge'!$F$2:$F$300,MATCH(A181,'Loading Dock Fridge'!$A$2:$A$300,0)),0)</f>
        <v>0</v>
      </c>
      <c r="U181" s="9">
        <f>IFERROR(INDEX('Postmix Loading Dock'!$F$2:$F$300,MATCH(A181,'Postmix Loading Dock'!$A$2:$A$300,0)),0)</f>
        <v>0</v>
      </c>
      <c r="V181" s="9">
        <f>IFERROR(INDEX('Postmix Lower Keg'!$F$2:$F$300,MATCH(A181,'Postmix Lower Keg'!$A$2:$A$300,0)),0)</f>
        <v>0</v>
      </c>
      <c r="W181" s="10">
        <f>IFERROR(INDEX('Postmix TWR'!$F$2:$F$300,MATCH(A181,'Postmix TWR'!$A$2:$A$300,0)),0)</f>
        <v>0</v>
      </c>
    </row>
    <row r="182" spans="1:23" x14ac:dyDescent="0.35">
      <c r="A182" s="8">
        <v>40677</v>
      </c>
      <c r="B182" s="9" t="s">
        <v>243</v>
      </c>
      <c r="C182" s="9" t="s">
        <v>227</v>
      </c>
      <c r="D182" s="9" t="s">
        <v>245</v>
      </c>
      <c r="E182" s="17">
        <v>12</v>
      </c>
      <c r="F182" s="23">
        <f t="shared" si="5"/>
        <v>0</v>
      </c>
      <c r="G182" s="9">
        <f>IFERROR(INDEX('Juice Fridge'!$F$2:$F$300,MATCH(A182,'Juice Fridge'!$A$2:$A$300,0)),0)</f>
        <v>0</v>
      </c>
      <c r="H182" s="9">
        <f>IFERROR(INDEX('Upper Keg'!$F$2:$F$300,MATCH(A182,'Upper Keg'!$A$2:$A$300,0)),0)</f>
        <v>0</v>
      </c>
      <c r="I182" s="9">
        <f>IFERROR(INDEX('Astral Bar'!$F$2:$F$300,MATCH(A182,'Astral Bar'!$A$2:$A$300,0)),0)</f>
        <v>0</v>
      </c>
      <c r="J182" s="9">
        <f>IFERROR(INDEX('GB1 Bar'!$F$2:$F$300,MATCH(A182,'GB1 Bar'!$A$2:$A$300,0)),0)</f>
        <v>0</v>
      </c>
      <c r="K182" s="9">
        <f>IFERROR(INDEX('GB2 Bar'!$F$2:$F$300,MATCH(A182,'GB2 Bar'!$A$2:$A$300,0)),0)</f>
        <v>0</v>
      </c>
      <c r="L182" s="9">
        <f>IFERROR(INDEX('CB1 Bar'!$F$2:$F$300,MATCH(A182,'CB1 Bar'!$A$2:$A$300,0)),0)</f>
        <v>0</v>
      </c>
      <c r="M182" s="9">
        <f>IFERROR(INDEX('CB2 Bar'!$F$2:$F$300,MATCH(A182,'CB2 Bar'!$A$2:$A$300,0)),0)</f>
        <v>0</v>
      </c>
      <c r="N182" s="9">
        <f>IFERROR(INDEX('CB3 Bar'!$F$2:$F$300,MATCH(A182,'CB3 Bar'!$A$2:$A$300,0)),0)</f>
        <v>0</v>
      </c>
      <c r="O182" s="9">
        <f>IFERROR(INDEX('Spirits Room'!$F$2:$F$300,MATCH(A182,'Spirits Room'!$A$2:$A$300,0)),0)</f>
        <v>0</v>
      </c>
      <c r="P182" s="9">
        <f>IFERROR(INDEX('White Wine Fridge'!$F$2:$F$300,MATCH(A182,'White Wine Fridge'!$A$2:$A$300,0)),0)</f>
        <v>0</v>
      </c>
      <c r="Q182" s="9">
        <f>IFERROR(INDEX('Lower Keg'!$F$2:$F$300,MATCH(A182,'Lower Keg'!$A$2:$A$300,0)),0)</f>
        <v>0</v>
      </c>
      <c r="R182" s="9">
        <f>IFERROR(INDEX('Botanical Storeroom'!$F$2:$F$300,MATCH(A182,'Botanical Storeroom'!$A$2:$A$300,0)),0)</f>
        <v>0</v>
      </c>
      <c r="S182" s="9">
        <f>IFERROR(INDEX('Botanical Bar'!$F$2:$F$300,MATCH(A182,'Botanical Bar'!$A$2:$A$300,0)),0)</f>
        <v>0</v>
      </c>
      <c r="T182" s="9">
        <f>IFERROR(INDEX('Loading Dock Fridge'!$F$2:$F$300,MATCH(A182,'Loading Dock Fridge'!$A$2:$A$300,0)),0)</f>
        <v>0</v>
      </c>
      <c r="U182" s="9">
        <f>IFERROR(INDEX('Postmix Loading Dock'!$F$2:$F$300,MATCH(A182,'Postmix Loading Dock'!$A$2:$A$300,0)),0)</f>
        <v>0</v>
      </c>
      <c r="V182" s="9">
        <f>IFERROR(INDEX('Postmix Lower Keg'!$F$2:$F$300,MATCH(A182,'Postmix Lower Keg'!$A$2:$A$300,0)),0)</f>
        <v>0</v>
      </c>
      <c r="W182" s="10">
        <f>IFERROR(INDEX('Postmix TWR'!$F$2:$F$300,MATCH(A182,'Postmix TWR'!$A$2:$A$300,0)),0)</f>
        <v>0</v>
      </c>
    </row>
    <row r="183" spans="1:23" x14ac:dyDescent="0.35">
      <c r="A183" s="8">
        <v>58603</v>
      </c>
      <c r="B183" s="9" t="s">
        <v>243</v>
      </c>
      <c r="C183" s="9" t="s">
        <v>227</v>
      </c>
      <c r="D183" s="9" t="s">
        <v>246</v>
      </c>
      <c r="E183" s="17">
        <v>6</v>
      </c>
      <c r="F183" s="23">
        <f t="shared" si="5"/>
        <v>0</v>
      </c>
      <c r="G183" s="9">
        <f>IFERROR(INDEX('Juice Fridge'!$F$2:$F$300,MATCH(A183,'Juice Fridge'!$A$2:$A$300,0)),0)</f>
        <v>0</v>
      </c>
      <c r="H183" s="9">
        <f>IFERROR(INDEX('Upper Keg'!$F$2:$F$300,MATCH(A183,'Upper Keg'!$A$2:$A$300,0)),0)</f>
        <v>0</v>
      </c>
      <c r="I183" s="9">
        <f>IFERROR(INDEX('Astral Bar'!$F$2:$F$300,MATCH(A183,'Astral Bar'!$A$2:$A$300,0)),0)</f>
        <v>0</v>
      </c>
      <c r="J183" s="9">
        <f>IFERROR(INDEX('GB1 Bar'!$F$2:$F$300,MATCH(A183,'GB1 Bar'!$A$2:$A$300,0)),0)</f>
        <v>0</v>
      </c>
      <c r="K183" s="9">
        <f>IFERROR(INDEX('GB2 Bar'!$F$2:$F$300,MATCH(A183,'GB2 Bar'!$A$2:$A$300,0)),0)</f>
        <v>0</v>
      </c>
      <c r="L183" s="9">
        <f>IFERROR(INDEX('CB1 Bar'!$F$2:$F$300,MATCH(A183,'CB1 Bar'!$A$2:$A$300,0)),0)</f>
        <v>0</v>
      </c>
      <c r="M183" s="9">
        <f>IFERROR(INDEX('CB2 Bar'!$F$2:$F$300,MATCH(A183,'CB2 Bar'!$A$2:$A$300,0)),0)</f>
        <v>0</v>
      </c>
      <c r="N183" s="9">
        <f>IFERROR(INDEX('CB3 Bar'!$F$2:$F$300,MATCH(A183,'CB3 Bar'!$A$2:$A$300,0)),0)</f>
        <v>0</v>
      </c>
      <c r="O183" s="9">
        <f>IFERROR(INDEX('Spirits Room'!$F$2:$F$300,MATCH(A183,'Spirits Room'!$A$2:$A$300,0)),0)</f>
        <v>0</v>
      </c>
      <c r="P183" s="9">
        <f>IFERROR(INDEX('White Wine Fridge'!$F$2:$F$300,MATCH(A183,'White Wine Fridge'!$A$2:$A$300,0)),0)</f>
        <v>0</v>
      </c>
      <c r="Q183" s="9">
        <f>IFERROR(INDEX('Lower Keg'!$F$2:$F$300,MATCH(A183,'Lower Keg'!$A$2:$A$300,0)),0)</f>
        <v>0</v>
      </c>
      <c r="R183" s="9">
        <f>IFERROR(INDEX('Botanical Storeroom'!$F$2:$F$300,MATCH(A183,'Botanical Storeroom'!$A$2:$A$300,0)),0)</f>
        <v>0</v>
      </c>
      <c r="S183" s="9">
        <f>IFERROR(INDEX('Botanical Bar'!$F$2:$F$300,MATCH(A183,'Botanical Bar'!$A$2:$A$300,0)),0)</f>
        <v>0</v>
      </c>
      <c r="T183" s="9">
        <f>IFERROR(INDEX('Loading Dock Fridge'!$F$2:$F$300,MATCH(A183,'Loading Dock Fridge'!$A$2:$A$300,0)),0)</f>
        <v>0</v>
      </c>
      <c r="U183" s="9">
        <f>IFERROR(INDEX('Postmix Loading Dock'!$F$2:$F$300,MATCH(A183,'Postmix Loading Dock'!$A$2:$A$300,0)),0)</f>
        <v>0</v>
      </c>
      <c r="V183" s="9">
        <f>IFERROR(INDEX('Postmix Lower Keg'!$F$2:$F$300,MATCH(A183,'Postmix Lower Keg'!$A$2:$A$300,0)),0)</f>
        <v>0</v>
      </c>
      <c r="W183" s="10">
        <f>IFERROR(INDEX('Postmix TWR'!$F$2:$F$300,MATCH(A183,'Postmix TWR'!$A$2:$A$300,0)),0)</f>
        <v>0</v>
      </c>
    </row>
    <row r="184" spans="1:23" x14ac:dyDescent="0.35">
      <c r="A184" s="8">
        <v>37396</v>
      </c>
      <c r="B184" s="9" t="s">
        <v>243</v>
      </c>
      <c r="C184" s="9" t="s">
        <v>227</v>
      </c>
      <c r="D184" s="9" t="s">
        <v>247</v>
      </c>
      <c r="E184" s="17">
        <v>6</v>
      </c>
      <c r="F184" s="23">
        <f t="shared" si="5"/>
        <v>0</v>
      </c>
      <c r="G184" s="9">
        <f>IFERROR(INDEX('Juice Fridge'!$F$2:$F$300,MATCH(A184,'Juice Fridge'!$A$2:$A$300,0)),0)</f>
        <v>0</v>
      </c>
      <c r="H184" s="9">
        <f>IFERROR(INDEX('Upper Keg'!$F$2:$F$300,MATCH(A184,'Upper Keg'!$A$2:$A$300,0)),0)</f>
        <v>0</v>
      </c>
      <c r="I184" s="9">
        <f>IFERROR(INDEX('Astral Bar'!$F$2:$F$300,MATCH(A184,'Astral Bar'!$A$2:$A$300,0)),0)</f>
        <v>0</v>
      </c>
      <c r="J184" s="9">
        <f>IFERROR(INDEX('GB1 Bar'!$F$2:$F$300,MATCH(A184,'GB1 Bar'!$A$2:$A$300,0)),0)</f>
        <v>0</v>
      </c>
      <c r="K184" s="9">
        <f>IFERROR(INDEX('GB2 Bar'!$F$2:$F$300,MATCH(A184,'GB2 Bar'!$A$2:$A$300,0)),0)</f>
        <v>0</v>
      </c>
      <c r="L184" s="9">
        <f>IFERROR(INDEX('CB1 Bar'!$F$2:$F$300,MATCH(A184,'CB1 Bar'!$A$2:$A$300,0)),0)</f>
        <v>0</v>
      </c>
      <c r="M184" s="9">
        <f>IFERROR(INDEX('CB2 Bar'!$F$2:$F$300,MATCH(A184,'CB2 Bar'!$A$2:$A$300,0)),0)</f>
        <v>0</v>
      </c>
      <c r="N184" s="9">
        <f>IFERROR(INDEX('CB3 Bar'!$F$2:$F$300,MATCH(A184,'CB3 Bar'!$A$2:$A$300,0)),0)</f>
        <v>0</v>
      </c>
      <c r="O184" s="9">
        <f>IFERROR(INDEX('Spirits Room'!$F$2:$F$300,MATCH(A184,'Spirits Room'!$A$2:$A$300,0)),0)</f>
        <v>0</v>
      </c>
      <c r="P184" s="9">
        <f>IFERROR(INDEX('White Wine Fridge'!$F$2:$F$300,MATCH(A184,'White Wine Fridge'!$A$2:$A$300,0)),0)</f>
        <v>0</v>
      </c>
      <c r="Q184" s="9">
        <f>IFERROR(INDEX('Lower Keg'!$F$2:$F$300,MATCH(A184,'Lower Keg'!$A$2:$A$300,0)),0)</f>
        <v>0</v>
      </c>
      <c r="R184" s="9">
        <f>IFERROR(INDEX('Botanical Storeroom'!$F$2:$F$300,MATCH(A184,'Botanical Storeroom'!$A$2:$A$300,0)),0)</f>
        <v>0</v>
      </c>
      <c r="S184" s="9">
        <f>IFERROR(INDEX('Botanical Bar'!$F$2:$F$300,MATCH(A184,'Botanical Bar'!$A$2:$A$300,0)),0)</f>
        <v>0</v>
      </c>
      <c r="T184" s="9">
        <f>IFERROR(INDEX('Loading Dock Fridge'!$F$2:$F$300,MATCH(A184,'Loading Dock Fridge'!$A$2:$A$300,0)),0)</f>
        <v>0</v>
      </c>
      <c r="U184" s="9">
        <f>IFERROR(INDEX('Postmix Loading Dock'!$F$2:$F$300,MATCH(A184,'Postmix Loading Dock'!$A$2:$A$300,0)),0)</f>
        <v>0</v>
      </c>
      <c r="V184" s="9">
        <f>IFERROR(INDEX('Postmix Lower Keg'!$F$2:$F$300,MATCH(A184,'Postmix Lower Keg'!$A$2:$A$300,0)),0)</f>
        <v>0</v>
      </c>
      <c r="W184" s="10">
        <f>IFERROR(INDEX('Postmix TWR'!$F$2:$F$300,MATCH(A184,'Postmix TWR'!$A$2:$A$300,0)),0)</f>
        <v>0</v>
      </c>
    </row>
    <row r="185" spans="1:23" x14ac:dyDescent="0.35">
      <c r="A185" s="8">
        <v>39973</v>
      </c>
      <c r="B185" s="9" t="s">
        <v>248</v>
      </c>
      <c r="C185" s="9" t="s">
        <v>227</v>
      </c>
      <c r="D185" s="9" t="s">
        <v>249</v>
      </c>
      <c r="E185" s="17">
        <v>6</v>
      </c>
      <c r="F185" s="23">
        <f t="shared" si="5"/>
        <v>0</v>
      </c>
      <c r="G185" s="9">
        <f>IFERROR(INDEX('Juice Fridge'!$F$2:$F$300,MATCH(A185,'Juice Fridge'!$A$2:$A$300,0)),0)</f>
        <v>0</v>
      </c>
      <c r="H185" s="9">
        <f>IFERROR(INDEX('Upper Keg'!$F$2:$F$300,MATCH(A185,'Upper Keg'!$A$2:$A$300,0)),0)</f>
        <v>0</v>
      </c>
      <c r="I185" s="9">
        <f>IFERROR(INDEX('Astral Bar'!$F$2:$F$300,MATCH(A185,'Astral Bar'!$A$2:$A$300,0)),0)</f>
        <v>0</v>
      </c>
      <c r="J185" s="9">
        <f>IFERROR(INDEX('GB1 Bar'!$F$2:$F$300,MATCH(A185,'GB1 Bar'!$A$2:$A$300,0)),0)</f>
        <v>0</v>
      </c>
      <c r="K185" s="9">
        <f>IFERROR(INDEX('GB2 Bar'!$F$2:$F$300,MATCH(A185,'GB2 Bar'!$A$2:$A$300,0)),0)</f>
        <v>0</v>
      </c>
      <c r="L185" s="9">
        <f>IFERROR(INDEX('CB1 Bar'!$F$2:$F$300,MATCH(A185,'CB1 Bar'!$A$2:$A$300,0)),0)</f>
        <v>0</v>
      </c>
      <c r="M185" s="9">
        <f>IFERROR(INDEX('CB2 Bar'!$F$2:$F$300,MATCH(A185,'CB2 Bar'!$A$2:$A$300,0)),0)</f>
        <v>0</v>
      </c>
      <c r="N185" s="9">
        <f>IFERROR(INDEX('CB3 Bar'!$F$2:$F$300,MATCH(A185,'CB3 Bar'!$A$2:$A$300,0)),0)</f>
        <v>0</v>
      </c>
      <c r="O185" s="9">
        <f>IFERROR(INDEX('Spirits Room'!$F$2:$F$300,MATCH(A185,'Spirits Room'!$A$2:$A$300,0)),0)</f>
        <v>0</v>
      </c>
      <c r="P185" s="9">
        <f>IFERROR(INDEX('White Wine Fridge'!$F$2:$F$300,MATCH(A185,'White Wine Fridge'!$A$2:$A$300,0)),0)</f>
        <v>0</v>
      </c>
      <c r="Q185" s="9">
        <f>IFERROR(INDEX('Lower Keg'!$F$2:$F$300,MATCH(A185,'Lower Keg'!$A$2:$A$300,0)),0)</f>
        <v>0</v>
      </c>
      <c r="R185" s="9">
        <f>IFERROR(INDEX('Botanical Storeroom'!$F$2:$F$300,MATCH(A185,'Botanical Storeroom'!$A$2:$A$300,0)),0)</f>
        <v>0</v>
      </c>
      <c r="S185" s="9">
        <f>IFERROR(INDEX('Botanical Bar'!$F$2:$F$300,MATCH(A185,'Botanical Bar'!$A$2:$A$300,0)),0)</f>
        <v>0</v>
      </c>
      <c r="T185" s="9">
        <f>IFERROR(INDEX('Loading Dock Fridge'!$F$2:$F$300,MATCH(A185,'Loading Dock Fridge'!$A$2:$A$300,0)),0)</f>
        <v>0</v>
      </c>
      <c r="U185" s="9">
        <f>IFERROR(INDEX('Postmix Loading Dock'!$F$2:$F$300,MATCH(A185,'Postmix Loading Dock'!$A$2:$A$300,0)),0)</f>
        <v>0</v>
      </c>
      <c r="V185" s="9">
        <f>IFERROR(INDEX('Postmix Lower Keg'!$F$2:$F$300,MATCH(A185,'Postmix Lower Keg'!$A$2:$A$300,0)),0)</f>
        <v>0</v>
      </c>
      <c r="W185" s="10">
        <f>IFERROR(INDEX('Postmix TWR'!$F$2:$F$300,MATCH(A185,'Postmix TWR'!$A$2:$A$300,0)),0)</f>
        <v>0</v>
      </c>
    </row>
    <row r="186" spans="1:23" x14ac:dyDescent="0.35">
      <c r="A186" s="8">
        <v>51560</v>
      </c>
      <c r="B186" s="9" t="s">
        <v>250</v>
      </c>
      <c r="C186" s="9" t="s">
        <v>227</v>
      </c>
      <c r="D186" s="9" t="s">
        <v>251</v>
      </c>
      <c r="E186" s="17">
        <v>12</v>
      </c>
      <c r="F186" s="23">
        <f t="shared" si="5"/>
        <v>0</v>
      </c>
      <c r="G186" s="9">
        <f>IFERROR(INDEX('Juice Fridge'!$F$2:$F$300,MATCH(A186,'Juice Fridge'!$A$2:$A$300,0)),0)</f>
        <v>0</v>
      </c>
      <c r="H186" s="9">
        <f>IFERROR(INDEX('Upper Keg'!$F$2:$F$300,MATCH(A186,'Upper Keg'!$A$2:$A$300,0)),0)</f>
        <v>0</v>
      </c>
      <c r="I186" s="9">
        <f>IFERROR(INDEX('Astral Bar'!$F$2:$F$300,MATCH(A186,'Astral Bar'!$A$2:$A$300,0)),0)</f>
        <v>0</v>
      </c>
      <c r="J186" s="9">
        <f>IFERROR(INDEX('GB1 Bar'!$F$2:$F$300,MATCH(A186,'GB1 Bar'!$A$2:$A$300,0)),0)</f>
        <v>0</v>
      </c>
      <c r="K186" s="9">
        <f>IFERROR(INDEX('GB2 Bar'!$F$2:$F$300,MATCH(A186,'GB2 Bar'!$A$2:$A$300,0)),0)</f>
        <v>0</v>
      </c>
      <c r="L186" s="9">
        <f>IFERROR(INDEX('CB1 Bar'!$F$2:$F$300,MATCH(A186,'CB1 Bar'!$A$2:$A$300,0)),0)</f>
        <v>0</v>
      </c>
      <c r="M186" s="9">
        <f>IFERROR(INDEX('CB2 Bar'!$F$2:$F$300,MATCH(A186,'CB2 Bar'!$A$2:$A$300,0)),0)</f>
        <v>0</v>
      </c>
      <c r="N186" s="9">
        <f>IFERROR(INDEX('CB3 Bar'!$F$2:$F$300,MATCH(A186,'CB3 Bar'!$A$2:$A$300,0)),0)</f>
        <v>0</v>
      </c>
      <c r="O186" s="9">
        <f>IFERROR(INDEX('Spirits Room'!$F$2:$F$300,MATCH(A186,'Spirits Room'!$A$2:$A$300,0)),0)</f>
        <v>0</v>
      </c>
      <c r="P186" s="9">
        <f>IFERROR(INDEX('White Wine Fridge'!$F$2:$F$300,MATCH(A186,'White Wine Fridge'!$A$2:$A$300,0)),0)</f>
        <v>0</v>
      </c>
      <c r="Q186" s="9">
        <f>IFERROR(INDEX('Lower Keg'!$F$2:$F$300,MATCH(A186,'Lower Keg'!$A$2:$A$300,0)),0)</f>
        <v>0</v>
      </c>
      <c r="R186" s="9">
        <f>IFERROR(INDEX('Botanical Storeroom'!$F$2:$F$300,MATCH(A186,'Botanical Storeroom'!$A$2:$A$300,0)),0)</f>
        <v>0</v>
      </c>
      <c r="S186" s="9">
        <f>IFERROR(INDEX('Botanical Bar'!$F$2:$F$300,MATCH(A186,'Botanical Bar'!$A$2:$A$300,0)),0)</f>
        <v>0</v>
      </c>
      <c r="T186" s="9">
        <f>IFERROR(INDEX('Loading Dock Fridge'!$F$2:$F$300,MATCH(A186,'Loading Dock Fridge'!$A$2:$A$300,0)),0)</f>
        <v>0</v>
      </c>
      <c r="U186" s="9">
        <f>IFERROR(INDEX('Postmix Loading Dock'!$F$2:$F$300,MATCH(A186,'Postmix Loading Dock'!$A$2:$A$300,0)),0)</f>
        <v>0</v>
      </c>
      <c r="V186" s="9">
        <f>IFERROR(INDEX('Postmix Lower Keg'!$F$2:$F$300,MATCH(A186,'Postmix Lower Keg'!$A$2:$A$300,0)),0)</f>
        <v>0</v>
      </c>
      <c r="W186" s="10">
        <f>IFERROR(INDEX('Postmix TWR'!$F$2:$F$300,MATCH(A186,'Postmix TWR'!$A$2:$A$300,0)),0)</f>
        <v>0</v>
      </c>
    </row>
    <row r="187" spans="1:23" x14ac:dyDescent="0.35">
      <c r="A187" s="8">
        <v>37240</v>
      </c>
      <c r="B187" s="9" t="s">
        <v>250</v>
      </c>
      <c r="C187" s="9" t="s">
        <v>227</v>
      </c>
      <c r="D187" s="9" t="s">
        <v>252</v>
      </c>
      <c r="E187" s="17">
        <v>6</v>
      </c>
      <c r="F187" s="23">
        <f t="shared" si="5"/>
        <v>0</v>
      </c>
      <c r="G187" s="9">
        <f>IFERROR(INDEX('Juice Fridge'!$F$2:$F$300,MATCH(A187,'Juice Fridge'!$A$2:$A$300,0)),0)</f>
        <v>0</v>
      </c>
      <c r="H187" s="9">
        <f>IFERROR(INDEX('Upper Keg'!$F$2:$F$300,MATCH(A187,'Upper Keg'!$A$2:$A$300,0)),0)</f>
        <v>0</v>
      </c>
      <c r="I187" s="9">
        <f>IFERROR(INDEX('Astral Bar'!$F$2:$F$300,MATCH(A187,'Astral Bar'!$A$2:$A$300,0)),0)</f>
        <v>0</v>
      </c>
      <c r="J187" s="9">
        <f>IFERROR(INDEX('GB1 Bar'!$F$2:$F$300,MATCH(A187,'GB1 Bar'!$A$2:$A$300,0)),0)</f>
        <v>0</v>
      </c>
      <c r="K187" s="9">
        <f>IFERROR(INDEX('GB2 Bar'!$F$2:$F$300,MATCH(A187,'GB2 Bar'!$A$2:$A$300,0)),0)</f>
        <v>0</v>
      </c>
      <c r="L187" s="9">
        <f>IFERROR(INDEX('CB1 Bar'!$F$2:$F$300,MATCH(A187,'CB1 Bar'!$A$2:$A$300,0)),0)</f>
        <v>0</v>
      </c>
      <c r="M187" s="9">
        <f>IFERROR(INDEX('CB2 Bar'!$F$2:$F$300,MATCH(A187,'CB2 Bar'!$A$2:$A$300,0)),0)</f>
        <v>0</v>
      </c>
      <c r="N187" s="9">
        <f>IFERROR(INDEX('CB3 Bar'!$F$2:$F$300,MATCH(A187,'CB3 Bar'!$A$2:$A$300,0)),0)</f>
        <v>0</v>
      </c>
      <c r="O187" s="9">
        <f>IFERROR(INDEX('Spirits Room'!$F$2:$F$300,MATCH(A187,'Spirits Room'!$A$2:$A$300,0)),0)</f>
        <v>0</v>
      </c>
      <c r="P187" s="9">
        <f>IFERROR(INDEX('White Wine Fridge'!$F$2:$F$300,MATCH(A187,'White Wine Fridge'!$A$2:$A$300,0)),0)</f>
        <v>0</v>
      </c>
      <c r="Q187" s="9">
        <f>IFERROR(INDEX('Lower Keg'!$F$2:$F$300,MATCH(A187,'Lower Keg'!$A$2:$A$300,0)),0)</f>
        <v>0</v>
      </c>
      <c r="R187" s="9">
        <f>IFERROR(INDEX('Botanical Storeroom'!$F$2:$F$300,MATCH(A187,'Botanical Storeroom'!$A$2:$A$300,0)),0)</f>
        <v>0</v>
      </c>
      <c r="S187" s="9">
        <f>IFERROR(INDEX('Botanical Bar'!$F$2:$F$300,MATCH(A187,'Botanical Bar'!$A$2:$A$300,0)),0)</f>
        <v>0</v>
      </c>
      <c r="T187" s="9">
        <f>IFERROR(INDEX('Loading Dock Fridge'!$F$2:$F$300,MATCH(A187,'Loading Dock Fridge'!$A$2:$A$300,0)),0)</f>
        <v>0</v>
      </c>
      <c r="U187" s="9">
        <f>IFERROR(INDEX('Postmix Loading Dock'!$F$2:$F$300,MATCH(A187,'Postmix Loading Dock'!$A$2:$A$300,0)),0)</f>
        <v>0</v>
      </c>
      <c r="V187" s="9">
        <f>IFERROR(INDEX('Postmix Lower Keg'!$F$2:$F$300,MATCH(A187,'Postmix Lower Keg'!$A$2:$A$300,0)),0)</f>
        <v>0</v>
      </c>
      <c r="W187" s="10">
        <f>IFERROR(INDEX('Postmix TWR'!$F$2:$F$300,MATCH(A187,'Postmix TWR'!$A$2:$A$300,0)),0)</f>
        <v>0</v>
      </c>
    </row>
    <row r="188" spans="1:23" x14ac:dyDescent="0.35">
      <c r="A188" s="8">
        <v>37125</v>
      </c>
      <c r="B188" s="9" t="s">
        <v>250</v>
      </c>
      <c r="C188" s="9" t="s">
        <v>227</v>
      </c>
      <c r="D188" s="9" t="s">
        <v>253</v>
      </c>
      <c r="E188" s="17">
        <v>6</v>
      </c>
      <c r="F188" s="23">
        <f t="shared" si="5"/>
        <v>0</v>
      </c>
      <c r="G188" s="9">
        <f>IFERROR(INDEX('Juice Fridge'!$F$2:$F$300,MATCH(A188,'Juice Fridge'!$A$2:$A$300,0)),0)</f>
        <v>0</v>
      </c>
      <c r="H188" s="9">
        <f>IFERROR(INDEX('Upper Keg'!$F$2:$F$300,MATCH(A188,'Upper Keg'!$A$2:$A$300,0)),0)</f>
        <v>0</v>
      </c>
      <c r="I188" s="9">
        <f>IFERROR(INDEX('Astral Bar'!$F$2:$F$300,MATCH(A188,'Astral Bar'!$A$2:$A$300,0)),0)</f>
        <v>0</v>
      </c>
      <c r="J188" s="9">
        <f>IFERROR(INDEX('GB1 Bar'!$F$2:$F$300,MATCH(A188,'GB1 Bar'!$A$2:$A$300,0)),0)</f>
        <v>0</v>
      </c>
      <c r="K188" s="9">
        <f>IFERROR(INDEX('GB2 Bar'!$F$2:$F$300,MATCH(A188,'GB2 Bar'!$A$2:$A$300,0)),0)</f>
        <v>0</v>
      </c>
      <c r="L188" s="9">
        <f>IFERROR(INDEX('CB1 Bar'!$F$2:$F$300,MATCH(A188,'CB1 Bar'!$A$2:$A$300,0)),0)</f>
        <v>0</v>
      </c>
      <c r="M188" s="9">
        <f>IFERROR(INDEX('CB2 Bar'!$F$2:$F$300,MATCH(A188,'CB2 Bar'!$A$2:$A$300,0)),0)</f>
        <v>0</v>
      </c>
      <c r="N188" s="9">
        <f>IFERROR(INDEX('CB3 Bar'!$F$2:$F$300,MATCH(A188,'CB3 Bar'!$A$2:$A$300,0)),0)</f>
        <v>0</v>
      </c>
      <c r="O188" s="9">
        <f>IFERROR(INDEX('Spirits Room'!$F$2:$F$300,MATCH(A188,'Spirits Room'!$A$2:$A$300,0)),0)</f>
        <v>0</v>
      </c>
      <c r="P188" s="9">
        <f>IFERROR(INDEX('White Wine Fridge'!$F$2:$F$300,MATCH(A188,'White Wine Fridge'!$A$2:$A$300,0)),0)</f>
        <v>0</v>
      </c>
      <c r="Q188" s="9">
        <f>IFERROR(INDEX('Lower Keg'!$F$2:$F$300,MATCH(A188,'Lower Keg'!$A$2:$A$300,0)),0)</f>
        <v>0</v>
      </c>
      <c r="R188" s="9">
        <f>IFERROR(INDEX('Botanical Storeroom'!$F$2:$F$300,MATCH(A188,'Botanical Storeroom'!$A$2:$A$300,0)),0)</f>
        <v>0</v>
      </c>
      <c r="S188" s="9">
        <f>IFERROR(INDEX('Botanical Bar'!$F$2:$F$300,MATCH(A188,'Botanical Bar'!$A$2:$A$300,0)),0)</f>
        <v>0</v>
      </c>
      <c r="T188" s="9">
        <f>IFERROR(INDEX('Loading Dock Fridge'!$F$2:$F$300,MATCH(A188,'Loading Dock Fridge'!$A$2:$A$300,0)),0)</f>
        <v>0</v>
      </c>
      <c r="U188" s="9">
        <f>IFERROR(INDEX('Postmix Loading Dock'!$F$2:$F$300,MATCH(A188,'Postmix Loading Dock'!$A$2:$A$300,0)),0)</f>
        <v>0</v>
      </c>
      <c r="V188" s="9">
        <f>IFERROR(INDEX('Postmix Lower Keg'!$F$2:$F$300,MATCH(A188,'Postmix Lower Keg'!$A$2:$A$300,0)),0)</f>
        <v>0</v>
      </c>
      <c r="W188" s="10">
        <f>IFERROR(INDEX('Postmix TWR'!$F$2:$F$300,MATCH(A188,'Postmix TWR'!$A$2:$A$300,0)),0)</f>
        <v>0</v>
      </c>
    </row>
    <row r="189" spans="1:23" x14ac:dyDescent="0.35">
      <c r="A189" s="8">
        <v>37506</v>
      </c>
      <c r="B189" s="9" t="s">
        <v>250</v>
      </c>
      <c r="C189" s="9" t="s">
        <v>227</v>
      </c>
      <c r="D189" s="9" t="s">
        <v>254</v>
      </c>
      <c r="E189" s="17">
        <v>6</v>
      </c>
      <c r="F189" s="23">
        <f t="shared" si="5"/>
        <v>0</v>
      </c>
      <c r="G189" s="9">
        <f>IFERROR(INDEX('Juice Fridge'!$F$2:$F$300,MATCH(A189,'Juice Fridge'!$A$2:$A$300,0)),0)</f>
        <v>0</v>
      </c>
      <c r="H189" s="9">
        <f>IFERROR(INDEX('Upper Keg'!$F$2:$F$300,MATCH(A189,'Upper Keg'!$A$2:$A$300,0)),0)</f>
        <v>0</v>
      </c>
      <c r="I189" s="9">
        <f>IFERROR(INDEX('Astral Bar'!$F$2:$F$300,MATCH(A189,'Astral Bar'!$A$2:$A$300,0)),0)</f>
        <v>0</v>
      </c>
      <c r="J189" s="9">
        <f>IFERROR(INDEX('GB1 Bar'!$F$2:$F$300,MATCH(A189,'GB1 Bar'!$A$2:$A$300,0)),0)</f>
        <v>0</v>
      </c>
      <c r="K189" s="9">
        <f>IFERROR(INDEX('GB2 Bar'!$F$2:$F$300,MATCH(A189,'GB2 Bar'!$A$2:$A$300,0)),0)</f>
        <v>0</v>
      </c>
      <c r="L189" s="9">
        <f>IFERROR(INDEX('CB1 Bar'!$F$2:$F$300,MATCH(A189,'CB1 Bar'!$A$2:$A$300,0)),0)</f>
        <v>0</v>
      </c>
      <c r="M189" s="9">
        <f>IFERROR(INDEX('CB2 Bar'!$F$2:$F$300,MATCH(A189,'CB2 Bar'!$A$2:$A$300,0)),0)</f>
        <v>0</v>
      </c>
      <c r="N189" s="9">
        <f>IFERROR(INDEX('CB3 Bar'!$F$2:$F$300,MATCH(A189,'CB3 Bar'!$A$2:$A$300,0)),0)</f>
        <v>0</v>
      </c>
      <c r="O189" s="9">
        <f>IFERROR(INDEX('Spirits Room'!$F$2:$F$300,MATCH(A189,'Spirits Room'!$A$2:$A$300,0)),0)</f>
        <v>0</v>
      </c>
      <c r="P189" s="9">
        <f>IFERROR(INDEX('White Wine Fridge'!$F$2:$F$300,MATCH(A189,'White Wine Fridge'!$A$2:$A$300,0)),0)</f>
        <v>0</v>
      </c>
      <c r="Q189" s="9">
        <f>IFERROR(INDEX('Lower Keg'!$F$2:$F$300,MATCH(A189,'Lower Keg'!$A$2:$A$300,0)),0)</f>
        <v>0</v>
      </c>
      <c r="R189" s="9">
        <f>IFERROR(INDEX('Botanical Storeroom'!$F$2:$F$300,MATCH(A189,'Botanical Storeroom'!$A$2:$A$300,0)),0)</f>
        <v>0</v>
      </c>
      <c r="S189" s="9">
        <f>IFERROR(INDEX('Botanical Bar'!$F$2:$F$300,MATCH(A189,'Botanical Bar'!$A$2:$A$300,0)),0)</f>
        <v>0</v>
      </c>
      <c r="T189" s="9">
        <f>IFERROR(INDEX('Loading Dock Fridge'!$F$2:$F$300,MATCH(A189,'Loading Dock Fridge'!$A$2:$A$300,0)),0)</f>
        <v>0</v>
      </c>
      <c r="U189" s="9">
        <f>IFERROR(INDEX('Postmix Loading Dock'!$F$2:$F$300,MATCH(A189,'Postmix Loading Dock'!$A$2:$A$300,0)),0)</f>
        <v>0</v>
      </c>
      <c r="V189" s="9">
        <f>IFERROR(INDEX('Postmix Lower Keg'!$F$2:$F$300,MATCH(A189,'Postmix Lower Keg'!$A$2:$A$300,0)),0)</f>
        <v>0</v>
      </c>
      <c r="W189" s="10">
        <f>IFERROR(INDEX('Postmix TWR'!$F$2:$F$300,MATCH(A189,'Postmix TWR'!$A$2:$A$300,0)),0)</f>
        <v>0</v>
      </c>
    </row>
    <row r="190" spans="1:23" x14ac:dyDescent="0.35">
      <c r="A190" s="8">
        <v>47824</v>
      </c>
      <c r="B190" s="9" t="s">
        <v>250</v>
      </c>
      <c r="C190" s="9" t="s">
        <v>227</v>
      </c>
      <c r="D190" s="9" t="s">
        <v>255</v>
      </c>
      <c r="E190" s="17">
        <v>6</v>
      </c>
      <c r="F190" s="23">
        <f t="shared" si="5"/>
        <v>0</v>
      </c>
      <c r="G190" s="9">
        <f>IFERROR(INDEX('Juice Fridge'!$F$2:$F$300,MATCH(A190,'Juice Fridge'!$A$2:$A$300,0)),0)</f>
        <v>0</v>
      </c>
      <c r="H190" s="9">
        <f>IFERROR(INDEX('Upper Keg'!$F$2:$F$300,MATCH(A190,'Upper Keg'!$A$2:$A$300,0)),0)</f>
        <v>0</v>
      </c>
      <c r="I190" s="9">
        <f>IFERROR(INDEX('Astral Bar'!$F$2:$F$300,MATCH(A190,'Astral Bar'!$A$2:$A$300,0)),0)</f>
        <v>0</v>
      </c>
      <c r="J190" s="9">
        <f>IFERROR(INDEX('GB1 Bar'!$F$2:$F$300,MATCH(A190,'GB1 Bar'!$A$2:$A$300,0)),0)</f>
        <v>0</v>
      </c>
      <c r="K190" s="9">
        <f>IFERROR(INDEX('GB2 Bar'!$F$2:$F$300,MATCH(A190,'GB2 Bar'!$A$2:$A$300,0)),0)</f>
        <v>0</v>
      </c>
      <c r="L190" s="9">
        <f>IFERROR(INDEX('CB1 Bar'!$F$2:$F$300,MATCH(A190,'CB1 Bar'!$A$2:$A$300,0)),0)</f>
        <v>0</v>
      </c>
      <c r="M190" s="9">
        <f>IFERROR(INDEX('CB2 Bar'!$F$2:$F$300,MATCH(A190,'CB2 Bar'!$A$2:$A$300,0)),0)</f>
        <v>0</v>
      </c>
      <c r="N190" s="9">
        <f>IFERROR(INDEX('CB3 Bar'!$F$2:$F$300,MATCH(A190,'CB3 Bar'!$A$2:$A$300,0)),0)</f>
        <v>0</v>
      </c>
      <c r="O190" s="9">
        <f>IFERROR(INDEX('Spirits Room'!$F$2:$F$300,MATCH(A190,'Spirits Room'!$A$2:$A$300,0)),0)</f>
        <v>0</v>
      </c>
      <c r="P190" s="9">
        <f>IFERROR(INDEX('White Wine Fridge'!$F$2:$F$300,MATCH(A190,'White Wine Fridge'!$A$2:$A$300,0)),0)</f>
        <v>0</v>
      </c>
      <c r="Q190" s="9">
        <f>IFERROR(INDEX('Lower Keg'!$F$2:$F$300,MATCH(A190,'Lower Keg'!$A$2:$A$300,0)),0)</f>
        <v>0</v>
      </c>
      <c r="R190" s="9">
        <f>IFERROR(INDEX('Botanical Storeroom'!$F$2:$F$300,MATCH(A190,'Botanical Storeroom'!$A$2:$A$300,0)),0)</f>
        <v>0</v>
      </c>
      <c r="S190" s="9">
        <f>IFERROR(INDEX('Botanical Bar'!$F$2:$F$300,MATCH(A190,'Botanical Bar'!$A$2:$A$300,0)),0)</f>
        <v>0</v>
      </c>
      <c r="T190" s="9">
        <f>IFERROR(INDEX('Loading Dock Fridge'!$F$2:$F$300,MATCH(A190,'Loading Dock Fridge'!$A$2:$A$300,0)),0)</f>
        <v>0</v>
      </c>
      <c r="U190" s="9">
        <f>IFERROR(INDEX('Postmix Loading Dock'!$F$2:$F$300,MATCH(A190,'Postmix Loading Dock'!$A$2:$A$300,0)),0)</f>
        <v>0</v>
      </c>
      <c r="V190" s="9">
        <f>IFERROR(INDEX('Postmix Lower Keg'!$F$2:$F$300,MATCH(A190,'Postmix Lower Keg'!$A$2:$A$300,0)),0)</f>
        <v>0</v>
      </c>
      <c r="W190" s="10">
        <f>IFERROR(INDEX('Postmix TWR'!$F$2:$F$300,MATCH(A190,'Postmix TWR'!$A$2:$A$300,0)),0)</f>
        <v>0</v>
      </c>
    </row>
    <row r="191" spans="1:23" x14ac:dyDescent="0.35">
      <c r="A191" s="8">
        <v>36676</v>
      </c>
      <c r="B191" s="9" t="s">
        <v>250</v>
      </c>
      <c r="C191" s="9" t="s">
        <v>227</v>
      </c>
      <c r="D191" s="9" t="s">
        <v>256</v>
      </c>
      <c r="E191" s="17">
        <v>6</v>
      </c>
      <c r="F191" s="23">
        <f t="shared" si="5"/>
        <v>0</v>
      </c>
      <c r="G191" s="9">
        <f>IFERROR(INDEX('Juice Fridge'!$F$2:$F$300,MATCH(A191,'Juice Fridge'!$A$2:$A$300,0)),0)</f>
        <v>0</v>
      </c>
      <c r="H191" s="9">
        <f>IFERROR(INDEX('Upper Keg'!$F$2:$F$300,MATCH(A191,'Upper Keg'!$A$2:$A$300,0)),0)</f>
        <v>0</v>
      </c>
      <c r="I191" s="9">
        <f>IFERROR(INDEX('Astral Bar'!$F$2:$F$300,MATCH(A191,'Astral Bar'!$A$2:$A$300,0)),0)</f>
        <v>0</v>
      </c>
      <c r="J191" s="9">
        <f>IFERROR(INDEX('GB1 Bar'!$F$2:$F$300,MATCH(A191,'GB1 Bar'!$A$2:$A$300,0)),0)</f>
        <v>0</v>
      </c>
      <c r="K191" s="9">
        <f>IFERROR(INDEX('GB2 Bar'!$F$2:$F$300,MATCH(A191,'GB2 Bar'!$A$2:$A$300,0)),0)</f>
        <v>0</v>
      </c>
      <c r="L191" s="9">
        <f>IFERROR(INDEX('CB1 Bar'!$F$2:$F$300,MATCH(A191,'CB1 Bar'!$A$2:$A$300,0)),0)</f>
        <v>0</v>
      </c>
      <c r="M191" s="9">
        <f>IFERROR(INDEX('CB2 Bar'!$F$2:$F$300,MATCH(A191,'CB2 Bar'!$A$2:$A$300,0)),0)</f>
        <v>0</v>
      </c>
      <c r="N191" s="9">
        <f>IFERROR(INDEX('CB3 Bar'!$F$2:$F$300,MATCH(A191,'CB3 Bar'!$A$2:$A$300,0)),0)</f>
        <v>0</v>
      </c>
      <c r="O191" s="9">
        <f>IFERROR(INDEX('Spirits Room'!$F$2:$F$300,MATCH(A191,'Spirits Room'!$A$2:$A$300,0)),0)</f>
        <v>0</v>
      </c>
      <c r="P191" s="9">
        <f>IFERROR(INDEX('White Wine Fridge'!$F$2:$F$300,MATCH(A191,'White Wine Fridge'!$A$2:$A$300,0)),0)</f>
        <v>0</v>
      </c>
      <c r="Q191" s="9">
        <f>IFERROR(INDEX('Lower Keg'!$F$2:$F$300,MATCH(A191,'Lower Keg'!$A$2:$A$300,0)),0)</f>
        <v>0</v>
      </c>
      <c r="R191" s="9">
        <f>IFERROR(INDEX('Botanical Storeroom'!$F$2:$F$300,MATCH(A191,'Botanical Storeroom'!$A$2:$A$300,0)),0)</f>
        <v>0</v>
      </c>
      <c r="S191" s="9">
        <f>IFERROR(INDEX('Botanical Bar'!$F$2:$F$300,MATCH(A191,'Botanical Bar'!$A$2:$A$300,0)),0)</f>
        <v>0</v>
      </c>
      <c r="T191" s="9">
        <f>IFERROR(INDEX('Loading Dock Fridge'!$F$2:$F$300,MATCH(A191,'Loading Dock Fridge'!$A$2:$A$300,0)),0)</f>
        <v>0</v>
      </c>
      <c r="U191" s="9">
        <f>IFERROR(INDEX('Postmix Loading Dock'!$F$2:$F$300,MATCH(A191,'Postmix Loading Dock'!$A$2:$A$300,0)),0)</f>
        <v>0</v>
      </c>
      <c r="V191" s="9">
        <f>IFERROR(INDEX('Postmix Lower Keg'!$F$2:$F$300,MATCH(A191,'Postmix Lower Keg'!$A$2:$A$300,0)),0)</f>
        <v>0</v>
      </c>
      <c r="W191" s="10">
        <f>IFERROR(INDEX('Postmix TWR'!$F$2:$F$300,MATCH(A191,'Postmix TWR'!$A$2:$A$300,0)),0)</f>
        <v>0</v>
      </c>
    </row>
    <row r="192" spans="1:23" x14ac:dyDescent="0.35">
      <c r="A192" s="8">
        <v>7197</v>
      </c>
      <c r="B192" s="9" t="s">
        <v>250</v>
      </c>
      <c r="C192" s="9" t="s">
        <v>227</v>
      </c>
      <c r="D192" s="9" t="s">
        <v>257</v>
      </c>
      <c r="E192" s="17">
        <v>12</v>
      </c>
      <c r="F192" s="23">
        <f t="shared" si="5"/>
        <v>0</v>
      </c>
      <c r="G192" s="9">
        <f>IFERROR(INDEX('Juice Fridge'!$F$2:$F$300,MATCH(A192,'Juice Fridge'!$A$2:$A$300,0)),0)</f>
        <v>0</v>
      </c>
      <c r="H192" s="9">
        <f>IFERROR(INDEX('Upper Keg'!$F$2:$F$300,MATCH(A192,'Upper Keg'!$A$2:$A$300,0)),0)</f>
        <v>0</v>
      </c>
      <c r="I192" s="9">
        <f>IFERROR(INDEX('Astral Bar'!$F$2:$F$300,MATCH(A192,'Astral Bar'!$A$2:$A$300,0)),0)</f>
        <v>0</v>
      </c>
      <c r="J192" s="9">
        <f>IFERROR(INDEX('GB1 Bar'!$F$2:$F$300,MATCH(A192,'GB1 Bar'!$A$2:$A$300,0)),0)</f>
        <v>0</v>
      </c>
      <c r="K192" s="9">
        <f>IFERROR(INDEX('GB2 Bar'!$F$2:$F$300,MATCH(A192,'GB2 Bar'!$A$2:$A$300,0)),0)</f>
        <v>0</v>
      </c>
      <c r="L192" s="9">
        <f>IFERROR(INDEX('CB1 Bar'!$F$2:$F$300,MATCH(A192,'CB1 Bar'!$A$2:$A$300,0)),0)</f>
        <v>0</v>
      </c>
      <c r="M192" s="9">
        <f>IFERROR(INDEX('CB2 Bar'!$F$2:$F$300,MATCH(A192,'CB2 Bar'!$A$2:$A$300,0)),0)</f>
        <v>0</v>
      </c>
      <c r="N192" s="9">
        <f>IFERROR(INDEX('CB3 Bar'!$F$2:$F$300,MATCH(A192,'CB3 Bar'!$A$2:$A$300,0)),0)</f>
        <v>0</v>
      </c>
      <c r="O192" s="9">
        <f>IFERROR(INDEX('Spirits Room'!$F$2:$F$300,MATCH(A192,'Spirits Room'!$A$2:$A$300,0)),0)</f>
        <v>0</v>
      </c>
      <c r="P192" s="9">
        <f>IFERROR(INDEX('White Wine Fridge'!$F$2:$F$300,MATCH(A192,'White Wine Fridge'!$A$2:$A$300,0)),0)</f>
        <v>0</v>
      </c>
      <c r="Q192" s="9">
        <f>IFERROR(INDEX('Lower Keg'!$F$2:$F$300,MATCH(A192,'Lower Keg'!$A$2:$A$300,0)),0)</f>
        <v>0</v>
      </c>
      <c r="R192" s="9">
        <f>IFERROR(INDEX('Botanical Storeroom'!$F$2:$F$300,MATCH(A192,'Botanical Storeroom'!$A$2:$A$300,0)),0)</f>
        <v>0</v>
      </c>
      <c r="S192" s="9">
        <f>IFERROR(INDEX('Botanical Bar'!$F$2:$F$300,MATCH(A192,'Botanical Bar'!$A$2:$A$300,0)),0)</f>
        <v>0</v>
      </c>
      <c r="T192" s="9">
        <f>IFERROR(INDEX('Loading Dock Fridge'!$F$2:$F$300,MATCH(A192,'Loading Dock Fridge'!$A$2:$A$300,0)),0)</f>
        <v>0</v>
      </c>
      <c r="U192" s="9">
        <f>IFERROR(INDEX('Postmix Loading Dock'!$F$2:$F$300,MATCH(A192,'Postmix Loading Dock'!$A$2:$A$300,0)),0)</f>
        <v>0</v>
      </c>
      <c r="V192" s="9">
        <f>IFERROR(INDEX('Postmix Lower Keg'!$F$2:$F$300,MATCH(A192,'Postmix Lower Keg'!$A$2:$A$300,0)),0)</f>
        <v>0</v>
      </c>
      <c r="W192" s="10">
        <f>IFERROR(INDEX('Postmix TWR'!$F$2:$F$300,MATCH(A192,'Postmix TWR'!$A$2:$A$300,0)),0)</f>
        <v>0</v>
      </c>
    </row>
    <row r="193" spans="1:23" x14ac:dyDescent="0.35">
      <c r="A193" s="11">
        <v>47464</v>
      </c>
      <c r="B193" s="12" t="s">
        <v>258</v>
      </c>
      <c r="C193" s="12" t="s">
        <v>227</v>
      </c>
      <c r="D193" s="12" t="s">
        <v>259</v>
      </c>
      <c r="E193" s="18">
        <v>12</v>
      </c>
      <c r="F193" s="24">
        <f t="shared" si="5"/>
        <v>0</v>
      </c>
      <c r="G193" s="12">
        <f>IFERROR(INDEX('Juice Fridge'!$F$2:$F$300,MATCH(A193,'Juice Fridge'!$A$2:$A$300,0)),0)</f>
        <v>0</v>
      </c>
      <c r="H193" s="12">
        <f>IFERROR(INDEX('Upper Keg'!$F$2:$F$300,MATCH(A193,'Upper Keg'!$A$2:$A$300,0)),0)</f>
        <v>0</v>
      </c>
      <c r="I193" s="12">
        <f>IFERROR(INDEX('Astral Bar'!$F$2:$F$300,MATCH(A193,'Astral Bar'!$A$2:$A$300,0)),0)</f>
        <v>0</v>
      </c>
      <c r="J193" s="12">
        <f>IFERROR(INDEX('GB1 Bar'!$F$2:$F$300,MATCH(A193,'GB1 Bar'!$A$2:$A$300,0)),0)</f>
        <v>0</v>
      </c>
      <c r="K193" s="12">
        <f>IFERROR(INDEX('GB2 Bar'!$F$2:$F$300,MATCH(A193,'GB2 Bar'!$A$2:$A$300,0)),0)</f>
        <v>0</v>
      </c>
      <c r="L193" s="12">
        <f>IFERROR(INDEX('CB1 Bar'!$F$2:$F$300,MATCH(A193,'CB1 Bar'!$A$2:$A$300,0)),0)</f>
        <v>0</v>
      </c>
      <c r="M193" s="12">
        <f>IFERROR(INDEX('CB2 Bar'!$F$2:$F$300,MATCH(A193,'CB2 Bar'!$A$2:$A$300,0)),0)</f>
        <v>0</v>
      </c>
      <c r="N193" s="12">
        <f>IFERROR(INDEX('CB3 Bar'!$F$2:$F$300,MATCH(A193,'CB3 Bar'!$A$2:$A$300,0)),0)</f>
        <v>0</v>
      </c>
      <c r="O193" s="12">
        <f>IFERROR(INDEX('Spirits Room'!$F$2:$F$300,MATCH(A193,'Spirits Room'!$A$2:$A$300,0)),0)</f>
        <v>0</v>
      </c>
      <c r="P193" s="12">
        <f>IFERROR(INDEX('White Wine Fridge'!$F$2:$F$300,MATCH(A193,'White Wine Fridge'!$A$2:$A$300,0)),0)</f>
        <v>0</v>
      </c>
      <c r="Q193" s="12">
        <f>IFERROR(INDEX('Lower Keg'!$F$2:$F$300,MATCH(A193,'Lower Keg'!$A$2:$A$300,0)),0)</f>
        <v>0</v>
      </c>
      <c r="R193" s="12">
        <f>IFERROR(INDEX('Botanical Storeroom'!$F$2:$F$300,MATCH(A193,'Botanical Storeroom'!$A$2:$A$300,0)),0)</f>
        <v>0</v>
      </c>
      <c r="S193" s="12">
        <f>IFERROR(INDEX('Botanical Bar'!$F$2:$F$300,MATCH(A193,'Botanical Bar'!$A$2:$A$300,0)),0)</f>
        <v>0</v>
      </c>
      <c r="T193" s="12">
        <f>IFERROR(INDEX('Loading Dock Fridge'!$F$2:$F$300,MATCH(A193,'Loading Dock Fridge'!$A$2:$A$300,0)),0)</f>
        <v>0</v>
      </c>
      <c r="U193" s="12">
        <f>IFERROR(INDEX('Postmix Loading Dock'!$F$2:$F$300,MATCH(A193,'Postmix Loading Dock'!$A$2:$A$300,0)),0)</f>
        <v>0</v>
      </c>
      <c r="V193" s="12">
        <f>IFERROR(INDEX('Postmix Lower Keg'!$F$2:$F$300,MATCH(A193,'Postmix Lower Keg'!$A$2:$A$300,0)),0)</f>
        <v>0</v>
      </c>
      <c r="W193" s="13">
        <f>IFERROR(INDEX('Postmix TWR'!$F$2:$F$300,MATCH(A193,'Postmix TWR'!$A$2:$A$300,0)),0)</f>
        <v>0</v>
      </c>
    </row>
  </sheetData>
  <sheetProtection selectLockedCells="1" sort="0" autoFilter="0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11D8-96BA-48A1-870C-391AA81A5BE7}">
  <sheetPr codeName="Sheet2"/>
  <dimension ref="A1:L193"/>
  <sheetViews>
    <sheetView workbookViewId="0">
      <selection activeCell="J7" sqref="J7"/>
    </sheetView>
  </sheetViews>
  <sheetFormatPr defaultRowHeight="14.4" x14ac:dyDescent="0.3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x14ac:dyDescent="0.3">
      <c r="A1" s="1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260</v>
      </c>
      <c r="G1" s="25" t="s">
        <v>261</v>
      </c>
      <c r="H1" s="25" t="s">
        <v>262</v>
      </c>
      <c r="I1" s="25" t="s">
        <v>263</v>
      </c>
      <c r="J1" s="25" t="s">
        <v>264</v>
      </c>
      <c r="K1" s="25" t="s">
        <v>265</v>
      </c>
      <c r="L1" s="15" t="s">
        <v>266</v>
      </c>
    </row>
    <row r="2" spans="1:12" ht="18" x14ac:dyDescent="0.35">
      <c r="A2" s="8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" s="27"/>
      <c r="H2" s="27"/>
      <c r="I2" s="27"/>
      <c r="J2" s="27"/>
      <c r="K2" s="27"/>
      <c r="L2" s="28"/>
    </row>
    <row r="3" spans="1:12" ht="18" x14ac:dyDescent="0.35">
      <c r="A3" s="8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" s="27"/>
      <c r="H3" s="27"/>
      <c r="I3" s="27"/>
      <c r="J3" s="27"/>
      <c r="K3" s="27"/>
      <c r="L3" s="28"/>
    </row>
    <row r="4" spans="1:12" ht="18" x14ac:dyDescent="0.35">
      <c r="A4" s="8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" s="27"/>
      <c r="H4" s="27"/>
      <c r="I4" s="27"/>
      <c r="J4" s="27"/>
      <c r="K4" s="27"/>
      <c r="L4" s="28"/>
    </row>
    <row r="5" spans="1:12" ht="18" x14ac:dyDescent="0.35">
      <c r="A5" s="8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" s="27"/>
      <c r="H5" s="27"/>
      <c r="I5" s="27"/>
      <c r="J5" s="27"/>
      <c r="K5" s="27"/>
      <c r="L5" s="28"/>
    </row>
    <row r="6" spans="1:12" ht="18" x14ac:dyDescent="0.35">
      <c r="A6" s="8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" s="27"/>
      <c r="H6" s="27"/>
      <c r="I6" s="27"/>
      <c r="J6" s="27"/>
      <c r="K6" s="27"/>
      <c r="L6" s="28"/>
    </row>
    <row r="7" spans="1:12" ht="18" x14ac:dyDescent="0.35">
      <c r="A7" s="8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" s="27"/>
      <c r="H7" s="27"/>
      <c r="I7" s="27"/>
      <c r="J7" s="27"/>
      <c r="K7" s="27"/>
      <c r="L7" s="28"/>
    </row>
    <row r="8" spans="1:12" ht="18" x14ac:dyDescent="0.35">
      <c r="A8" s="8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" s="27"/>
      <c r="H8" s="27"/>
      <c r="I8" s="27"/>
      <c r="J8" s="27"/>
      <c r="K8" s="27"/>
      <c r="L8" s="28"/>
    </row>
    <row r="9" spans="1:12" ht="18" x14ac:dyDescent="0.35">
      <c r="A9" s="8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" s="27"/>
      <c r="H9" s="27"/>
      <c r="I9" s="27"/>
      <c r="J9" s="27"/>
      <c r="K9" s="27"/>
      <c r="L9" s="28"/>
    </row>
    <row r="10" spans="1:12" ht="18" x14ac:dyDescent="0.35">
      <c r="A10" s="8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" s="27"/>
      <c r="H10" s="27"/>
      <c r="I10" s="27"/>
      <c r="J10" s="27"/>
      <c r="K10" s="27"/>
      <c r="L10" s="28"/>
    </row>
    <row r="11" spans="1:12" ht="18" x14ac:dyDescent="0.35">
      <c r="A11" s="8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" s="27"/>
      <c r="H11" s="27"/>
      <c r="I11" s="27"/>
      <c r="J11" s="27"/>
      <c r="K11" s="27"/>
      <c r="L11" s="28"/>
    </row>
    <row r="12" spans="1:12" ht="18" x14ac:dyDescent="0.35">
      <c r="A12" s="8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" s="27"/>
      <c r="H12" s="27"/>
      <c r="I12" s="27"/>
      <c r="J12" s="27"/>
      <c r="K12" s="27"/>
      <c r="L12" s="28"/>
    </row>
    <row r="13" spans="1:12" ht="18" x14ac:dyDescent="0.35">
      <c r="A13" s="8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" s="27"/>
      <c r="H13" s="27"/>
      <c r="I13" s="27"/>
      <c r="J13" s="27"/>
      <c r="K13" s="27"/>
      <c r="L13" s="28"/>
    </row>
    <row r="14" spans="1:12" ht="18" x14ac:dyDescent="0.35">
      <c r="A14" s="8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" s="27"/>
      <c r="H14" s="27"/>
      <c r="I14" s="27"/>
      <c r="J14" s="27"/>
      <c r="K14" s="27"/>
      <c r="L14" s="28"/>
    </row>
    <row r="15" spans="1:12" ht="18" x14ac:dyDescent="0.35">
      <c r="A15" s="8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" s="27"/>
      <c r="H15" s="27"/>
      <c r="I15" s="27"/>
      <c r="J15" s="27"/>
      <c r="K15" s="27"/>
      <c r="L15" s="28"/>
    </row>
    <row r="16" spans="1:12" ht="18" x14ac:dyDescent="0.35">
      <c r="A16" s="8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" s="27"/>
      <c r="H16" s="27"/>
      <c r="I16" s="27"/>
      <c r="J16" s="27"/>
      <c r="K16" s="27"/>
      <c r="L16" s="28"/>
    </row>
    <row r="17" spans="1:12" ht="18" x14ac:dyDescent="0.35">
      <c r="A17" s="8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" s="27"/>
      <c r="H17" s="27"/>
      <c r="I17" s="27"/>
      <c r="J17" s="27"/>
      <c r="K17" s="27"/>
      <c r="L17" s="28"/>
    </row>
    <row r="18" spans="1:12" ht="18" x14ac:dyDescent="0.35">
      <c r="A18" s="8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" s="27"/>
      <c r="H18" s="27"/>
      <c r="I18" s="27"/>
      <c r="J18" s="27"/>
      <c r="K18" s="27"/>
      <c r="L18" s="28"/>
    </row>
    <row r="19" spans="1:12" ht="18" x14ac:dyDescent="0.35">
      <c r="A19" s="8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" s="27"/>
      <c r="H19" s="27"/>
      <c r="I19" s="27"/>
      <c r="J19" s="27"/>
      <c r="K19" s="27"/>
      <c r="L19" s="28"/>
    </row>
    <row r="20" spans="1:12" ht="18" x14ac:dyDescent="0.35">
      <c r="A20" s="8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0" s="27"/>
      <c r="H20" s="27"/>
      <c r="I20" s="27"/>
      <c r="J20" s="27"/>
      <c r="K20" s="27"/>
      <c r="L20" s="28"/>
    </row>
    <row r="21" spans="1:12" ht="18" x14ac:dyDescent="0.35">
      <c r="A21" s="8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1" s="27"/>
      <c r="H21" s="27"/>
      <c r="I21" s="27"/>
      <c r="J21" s="27"/>
      <c r="K21" s="27"/>
      <c r="L21" s="28"/>
    </row>
    <row r="22" spans="1:12" ht="18" x14ac:dyDescent="0.35">
      <c r="A22" s="8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2" s="27"/>
      <c r="H22" s="27"/>
      <c r="I22" s="27"/>
      <c r="J22" s="27"/>
      <c r="K22" s="27"/>
      <c r="L22" s="28"/>
    </row>
    <row r="23" spans="1:12" ht="18" x14ac:dyDescent="0.35">
      <c r="A23" s="8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3" s="27"/>
      <c r="H23" s="27"/>
      <c r="I23" s="27"/>
      <c r="J23" s="27"/>
      <c r="K23" s="27"/>
      <c r="L23" s="28"/>
    </row>
    <row r="24" spans="1:12" ht="18" x14ac:dyDescent="0.35">
      <c r="A24" s="8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4" s="27"/>
      <c r="H24" s="27"/>
      <c r="I24" s="27"/>
      <c r="J24" s="27"/>
      <c r="K24" s="27"/>
      <c r="L24" s="28"/>
    </row>
    <row r="25" spans="1:12" ht="18" x14ac:dyDescent="0.35">
      <c r="A25" s="8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5" s="27"/>
      <c r="H25" s="27"/>
      <c r="I25" s="27"/>
      <c r="J25" s="27"/>
      <c r="K25" s="27"/>
      <c r="L25" s="28"/>
    </row>
    <row r="26" spans="1:12" ht="18" x14ac:dyDescent="0.35">
      <c r="A26" s="8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6" s="27"/>
      <c r="H26" s="27"/>
      <c r="I26" s="27"/>
      <c r="J26" s="27"/>
      <c r="K26" s="27"/>
      <c r="L26" s="28"/>
    </row>
    <row r="27" spans="1:12" ht="18" x14ac:dyDescent="0.35">
      <c r="A27" s="8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7" s="27"/>
      <c r="H27" s="27"/>
      <c r="I27" s="27"/>
      <c r="J27" s="27"/>
      <c r="K27" s="27"/>
      <c r="L27" s="28"/>
    </row>
    <row r="28" spans="1:12" ht="18" x14ac:dyDescent="0.35">
      <c r="A28" s="8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8" s="27"/>
      <c r="H28" s="27"/>
      <c r="I28" s="27"/>
      <c r="J28" s="27"/>
      <c r="K28" s="27"/>
      <c r="L28" s="28"/>
    </row>
    <row r="29" spans="1:12" ht="18" x14ac:dyDescent="0.35">
      <c r="A29" s="8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9" s="27"/>
      <c r="H29" s="27"/>
      <c r="I29" s="27"/>
      <c r="J29" s="27"/>
      <c r="K29" s="27"/>
      <c r="L29" s="28"/>
    </row>
    <row r="30" spans="1:12" ht="18" x14ac:dyDescent="0.35">
      <c r="A30" s="8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0" s="27"/>
      <c r="H30" s="27"/>
      <c r="I30" s="27"/>
      <c r="J30" s="27"/>
      <c r="K30" s="27"/>
      <c r="L30" s="28"/>
    </row>
    <row r="31" spans="1:12" ht="18" x14ac:dyDescent="0.35">
      <c r="A31" s="8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1" s="27"/>
      <c r="H31" s="27"/>
      <c r="I31" s="27"/>
      <c r="J31" s="27"/>
      <c r="K31" s="27"/>
      <c r="L31" s="28"/>
    </row>
    <row r="32" spans="1:12" ht="18" x14ac:dyDescent="0.35">
      <c r="A32" s="8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2" s="27"/>
      <c r="H32" s="27"/>
      <c r="I32" s="27"/>
      <c r="J32" s="27"/>
      <c r="K32" s="27"/>
      <c r="L32" s="28"/>
    </row>
    <row r="33" spans="1:12" ht="18" x14ac:dyDescent="0.35">
      <c r="A33" s="8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3" s="27"/>
      <c r="H33" s="27"/>
      <c r="I33" s="27"/>
      <c r="J33" s="27"/>
      <c r="K33" s="27"/>
      <c r="L33" s="28"/>
    </row>
    <row r="34" spans="1:12" ht="18" x14ac:dyDescent="0.35">
      <c r="A34" s="8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4" s="27"/>
      <c r="H34" s="27"/>
      <c r="I34" s="27"/>
      <c r="J34" s="27"/>
      <c r="K34" s="27"/>
      <c r="L34" s="28"/>
    </row>
    <row r="35" spans="1:12" ht="18" x14ac:dyDescent="0.35">
      <c r="A35" s="8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5" s="27"/>
      <c r="H35" s="27"/>
      <c r="I35" s="27"/>
      <c r="J35" s="27"/>
      <c r="K35" s="27"/>
      <c r="L35" s="28"/>
    </row>
    <row r="36" spans="1:12" ht="18" x14ac:dyDescent="0.35">
      <c r="A36" s="8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6" s="27"/>
      <c r="H36" s="27"/>
      <c r="I36" s="27"/>
      <c r="J36" s="27"/>
      <c r="K36" s="27"/>
      <c r="L36" s="28"/>
    </row>
    <row r="37" spans="1:12" ht="18" x14ac:dyDescent="0.35">
      <c r="A37" s="8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7" s="27"/>
      <c r="H37" s="27"/>
      <c r="I37" s="27"/>
      <c r="J37" s="27"/>
      <c r="K37" s="27"/>
      <c r="L37" s="28"/>
    </row>
    <row r="38" spans="1:12" ht="18" x14ac:dyDescent="0.35">
      <c r="A38" s="8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8" s="27"/>
      <c r="H38" s="27"/>
      <c r="I38" s="27"/>
      <c r="J38" s="27"/>
      <c r="K38" s="27"/>
      <c r="L38" s="28"/>
    </row>
    <row r="39" spans="1:12" ht="18" x14ac:dyDescent="0.35">
      <c r="A39" s="8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9" s="27"/>
      <c r="H39" s="27"/>
      <c r="I39" s="27"/>
      <c r="J39" s="27"/>
      <c r="K39" s="27"/>
      <c r="L39" s="28"/>
    </row>
    <row r="40" spans="1:12" ht="18" x14ac:dyDescent="0.35">
      <c r="A40" s="8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0" s="27"/>
      <c r="H40" s="27"/>
      <c r="I40" s="27"/>
      <c r="J40" s="27"/>
      <c r="K40" s="27"/>
      <c r="L40" s="28"/>
    </row>
    <row r="41" spans="1:12" ht="18" x14ac:dyDescent="0.35">
      <c r="A41" s="8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1" s="27"/>
      <c r="H41" s="27"/>
      <c r="I41" s="27"/>
      <c r="J41" s="27"/>
      <c r="K41" s="27"/>
      <c r="L41" s="28"/>
    </row>
    <row r="42" spans="1:12" ht="18" x14ac:dyDescent="0.35">
      <c r="A42" s="8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2" s="27"/>
      <c r="H42" s="27"/>
      <c r="I42" s="27"/>
      <c r="J42" s="27"/>
      <c r="K42" s="27"/>
      <c r="L42" s="28"/>
    </row>
    <row r="43" spans="1:12" ht="18" x14ac:dyDescent="0.35">
      <c r="A43" s="8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3" s="27"/>
      <c r="H43" s="27"/>
      <c r="I43" s="27"/>
      <c r="J43" s="27"/>
      <c r="K43" s="27"/>
      <c r="L43" s="28"/>
    </row>
    <row r="44" spans="1:12" ht="18" x14ac:dyDescent="0.35">
      <c r="A44" s="8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4" s="27"/>
      <c r="H44" s="27"/>
      <c r="I44" s="27"/>
      <c r="J44" s="27"/>
      <c r="K44" s="27"/>
      <c r="L44" s="28"/>
    </row>
    <row r="45" spans="1:12" ht="18" x14ac:dyDescent="0.35">
      <c r="A45" s="8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5" s="27"/>
      <c r="H45" s="27"/>
      <c r="I45" s="27"/>
      <c r="J45" s="27"/>
      <c r="K45" s="27"/>
      <c r="L45" s="28"/>
    </row>
    <row r="46" spans="1:12" ht="18" x14ac:dyDescent="0.35">
      <c r="A46" s="8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6" s="27"/>
      <c r="H46" s="27"/>
      <c r="I46" s="27"/>
      <c r="J46" s="27"/>
      <c r="K46" s="27"/>
      <c r="L46" s="28"/>
    </row>
    <row r="47" spans="1:12" ht="18" x14ac:dyDescent="0.35">
      <c r="A47" s="8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7" s="27"/>
      <c r="H47" s="27"/>
      <c r="I47" s="27"/>
      <c r="J47" s="27"/>
      <c r="K47" s="27"/>
      <c r="L47" s="28"/>
    </row>
    <row r="48" spans="1:12" ht="18" x14ac:dyDescent="0.35">
      <c r="A48" s="8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8" s="27"/>
      <c r="H48" s="27"/>
      <c r="I48" s="27"/>
      <c r="J48" s="27"/>
      <c r="K48" s="27"/>
      <c r="L48" s="28"/>
    </row>
    <row r="49" spans="1:12" ht="18" x14ac:dyDescent="0.35">
      <c r="A49" s="8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9" s="27"/>
      <c r="H49" s="27"/>
      <c r="I49" s="27"/>
      <c r="J49" s="27"/>
      <c r="K49" s="27"/>
      <c r="L49" s="28"/>
    </row>
    <row r="50" spans="1:12" ht="18" x14ac:dyDescent="0.35">
      <c r="A50" s="8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0" s="27"/>
      <c r="H50" s="27"/>
      <c r="I50" s="27"/>
      <c r="J50" s="27"/>
      <c r="K50" s="27"/>
      <c r="L50" s="28"/>
    </row>
    <row r="51" spans="1:12" ht="18" x14ac:dyDescent="0.35">
      <c r="A51" s="8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1" s="27"/>
      <c r="H51" s="27"/>
      <c r="I51" s="27"/>
      <c r="J51" s="27"/>
      <c r="K51" s="27"/>
      <c r="L51" s="28"/>
    </row>
    <row r="52" spans="1:12" ht="18" x14ac:dyDescent="0.35">
      <c r="A52" s="8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2" s="27"/>
      <c r="H52" s="27"/>
      <c r="I52" s="27"/>
      <c r="J52" s="27"/>
      <c r="K52" s="27"/>
      <c r="L52" s="28"/>
    </row>
    <row r="53" spans="1:12" ht="18" x14ac:dyDescent="0.35">
      <c r="A53" s="8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3" s="27"/>
      <c r="H53" s="27"/>
      <c r="I53" s="27"/>
      <c r="J53" s="27"/>
      <c r="K53" s="27"/>
      <c r="L53" s="28"/>
    </row>
    <row r="54" spans="1:12" ht="18" x14ac:dyDescent="0.35">
      <c r="A54" s="8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4" s="27"/>
      <c r="H54" s="27"/>
      <c r="I54" s="27"/>
      <c r="J54" s="27"/>
      <c r="K54" s="27"/>
      <c r="L54" s="28"/>
    </row>
    <row r="55" spans="1:12" ht="18" x14ac:dyDescent="0.35">
      <c r="A55" s="8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5" s="27"/>
      <c r="H55" s="27"/>
      <c r="I55" s="27"/>
      <c r="J55" s="27"/>
      <c r="K55" s="27"/>
      <c r="L55" s="28"/>
    </row>
    <row r="56" spans="1:12" ht="18" x14ac:dyDescent="0.35">
      <c r="A56" s="8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6" s="27"/>
      <c r="H56" s="27"/>
      <c r="I56" s="27"/>
      <c r="J56" s="27"/>
      <c r="K56" s="27"/>
      <c r="L56" s="28"/>
    </row>
    <row r="57" spans="1:12" ht="18" x14ac:dyDescent="0.35">
      <c r="A57" s="8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7" s="27"/>
      <c r="H57" s="27"/>
      <c r="I57" s="27"/>
      <c r="J57" s="27"/>
      <c r="K57" s="27"/>
      <c r="L57" s="28"/>
    </row>
    <row r="58" spans="1:12" ht="18" x14ac:dyDescent="0.35">
      <c r="A58" s="8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8" s="27"/>
      <c r="H58" s="27"/>
      <c r="I58" s="27"/>
      <c r="J58" s="27"/>
      <c r="K58" s="27"/>
      <c r="L58" s="28"/>
    </row>
    <row r="59" spans="1:12" ht="18" x14ac:dyDescent="0.35">
      <c r="A59" s="8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9" s="27"/>
      <c r="H59" s="27"/>
      <c r="I59" s="27"/>
      <c r="J59" s="27"/>
      <c r="K59" s="27"/>
      <c r="L59" s="28"/>
    </row>
    <row r="60" spans="1:12" ht="18" x14ac:dyDescent="0.35">
      <c r="A60" s="8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0" s="27"/>
      <c r="H60" s="27"/>
      <c r="I60" s="27"/>
      <c r="J60" s="27"/>
      <c r="K60" s="27"/>
      <c r="L60" s="28"/>
    </row>
    <row r="61" spans="1:12" ht="18" x14ac:dyDescent="0.35">
      <c r="A61" s="8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1" s="27"/>
      <c r="H61" s="27"/>
      <c r="I61" s="27"/>
      <c r="J61" s="27"/>
      <c r="K61" s="27"/>
      <c r="L61" s="28"/>
    </row>
    <row r="62" spans="1:12" ht="18" x14ac:dyDescent="0.35">
      <c r="A62" s="8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2" s="27"/>
      <c r="H62" s="27"/>
      <c r="I62" s="27"/>
      <c r="J62" s="27"/>
      <c r="K62" s="27"/>
      <c r="L62" s="28"/>
    </row>
    <row r="63" spans="1:12" ht="18" x14ac:dyDescent="0.35">
      <c r="A63" s="8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3" s="27"/>
      <c r="H63" s="27"/>
      <c r="I63" s="27"/>
      <c r="J63" s="27"/>
      <c r="K63" s="27"/>
      <c r="L63" s="28"/>
    </row>
    <row r="64" spans="1:12" ht="18" x14ac:dyDescent="0.35">
      <c r="A64" s="8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4" s="27"/>
      <c r="H64" s="27"/>
      <c r="I64" s="27"/>
      <c r="J64" s="27"/>
      <c r="K64" s="27"/>
      <c r="L64" s="28"/>
    </row>
    <row r="65" spans="1:12" ht="18" x14ac:dyDescent="0.35">
      <c r="A65" s="8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5" s="27"/>
      <c r="H65" s="27"/>
      <c r="I65" s="27"/>
      <c r="J65" s="27"/>
      <c r="K65" s="27"/>
      <c r="L65" s="28"/>
    </row>
    <row r="66" spans="1:12" ht="18" x14ac:dyDescent="0.35">
      <c r="A66" s="8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6" s="27"/>
      <c r="H66" s="27"/>
      <c r="I66" s="27"/>
      <c r="J66" s="27"/>
      <c r="K66" s="27"/>
      <c r="L66" s="28"/>
    </row>
    <row r="67" spans="1:12" ht="18" x14ac:dyDescent="0.35">
      <c r="A67" s="8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7" s="27"/>
      <c r="H67" s="27"/>
      <c r="I67" s="27"/>
      <c r="J67" s="27"/>
      <c r="K67" s="27"/>
      <c r="L67" s="28"/>
    </row>
    <row r="68" spans="1:12" ht="18" x14ac:dyDescent="0.35">
      <c r="A68" s="8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8" s="27"/>
      <c r="H68" s="27"/>
      <c r="I68" s="27"/>
      <c r="J68" s="27"/>
      <c r="K68" s="27"/>
      <c r="L68" s="28"/>
    </row>
    <row r="69" spans="1:12" ht="18" x14ac:dyDescent="0.35">
      <c r="A69" s="8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9" s="27"/>
      <c r="H69" s="27"/>
      <c r="I69" s="27"/>
      <c r="J69" s="27"/>
      <c r="K69" s="27"/>
      <c r="L69" s="28"/>
    </row>
    <row r="70" spans="1:12" ht="18" x14ac:dyDescent="0.35">
      <c r="A70" s="8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0" s="27"/>
      <c r="H70" s="27"/>
      <c r="I70" s="27"/>
      <c r="J70" s="27"/>
      <c r="K70" s="27"/>
      <c r="L70" s="28"/>
    </row>
    <row r="71" spans="1:12" ht="18" x14ac:dyDescent="0.35">
      <c r="A71" s="8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1" s="27"/>
      <c r="H71" s="27"/>
      <c r="I71" s="27"/>
      <c r="J71" s="27"/>
      <c r="K71" s="27"/>
      <c r="L71" s="28"/>
    </row>
    <row r="72" spans="1:12" ht="18" x14ac:dyDescent="0.35">
      <c r="A72" s="8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2" s="27"/>
      <c r="H72" s="27"/>
      <c r="I72" s="27"/>
      <c r="J72" s="27"/>
      <c r="K72" s="27"/>
      <c r="L72" s="28"/>
    </row>
    <row r="73" spans="1:12" ht="18" x14ac:dyDescent="0.35">
      <c r="A73" s="8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3" s="27"/>
      <c r="H73" s="27"/>
      <c r="I73" s="27"/>
      <c r="J73" s="27"/>
      <c r="K73" s="27"/>
      <c r="L73" s="28"/>
    </row>
    <row r="74" spans="1:12" ht="18" x14ac:dyDescent="0.35">
      <c r="A74" s="8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4" s="27"/>
      <c r="H74" s="27"/>
      <c r="I74" s="27"/>
      <c r="J74" s="27"/>
      <c r="K74" s="27"/>
      <c r="L74" s="28"/>
    </row>
    <row r="75" spans="1:12" ht="18" x14ac:dyDescent="0.35">
      <c r="A75" s="8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5" s="27"/>
      <c r="H75" s="27"/>
      <c r="I75" s="27"/>
      <c r="J75" s="27"/>
      <c r="K75" s="27"/>
      <c r="L75" s="28"/>
    </row>
    <row r="76" spans="1:12" ht="18" x14ac:dyDescent="0.35">
      <c r="A76" s="8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6" s="27"/>
      <c r="H76" s="27"/>
      <c r="I76" s="27"/>
      <c r="J76" s="27"/>
      <c r="K76" s="27"/>
      <c r="L76" s="28"/>
    </row>
    <row r="77" spans="1:12" ht="18" x14ac:dyDescent="0.35">
      <c r="A77" s="8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7" s="27"/>
      <c r="H77" s="27"/>
      <c r="I77" s="27"/>
      <c r="J77" s="27"/>
      <c r="K77" s="27"/>
      <c r="L77" s="28"/>
    </row>
    <row r="78" spans="1:12" ht="18" x14ac:dyDescent="0.35">
      <c r="A78" s="8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8" s="27"/>
      <c r="H78" s="27"/>
      <c r="I78" s="27"/>
      <c r="J78" s="27"/>
      <c r="K78" s="27"/>
      <c r="L78" s="28"/>
    </row>
    <row r="79" spans="1:12" ht="18" x14ac:dyDescent="0.35">
      <c r="A79" s="8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9" s="27"/>
      <c r="H79" s="27"/>
      <c r="I79" s="27"/>
      <c r="J79" s="27"/>
      <c r="K79" s="27"/>
      <c r="L79" s="28"/>
    </row>
    <row r="80" spans="1:12" ht="18" x14ac:dyDescent="0.35">
      <c r="A80" s="8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0" s="27"/>
      <c r="H80" s="27"/>
      <c r="I80" s="27"/>
      <c r="J80" s="27"/>
      <c r="K80" s="27"/>
      <c r="L80" s="28"/>
    </row>
    <row r="81" spans="1:12" ht="18" x14ac:dyDescent="0.35">
      <c r="A81" s="8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1" s="27"/>
      <c r="H81" s="27"/>
      <c r="I81" s="27"/>
      <c r="J81" s="27"/>
      <c r="K81" s="27"/>
      <c r="L81" s="28"/>
    </row>
    <row r="82" spans="1:12" ht="18" x14ac:dyDescent="0.35">
      <c r="A82" s="8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2" s="27"/>
      <c r="H82" s="27"/>
      <c r="I82" s="27"/>
      <c r="J82" s="27"/>
      <c r="K82" s="27"/>
      <c r="L82" s="28"/>
    </row>
    <row r="83" spans="1:12" ht="18" x14ac:dyDescent="0.35">
      <c r="A83" s="8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3" s="27"/>
      <c r="H83" s="27"/>
      <c r="I83" s="27"/>
      <c r="J83" s="27"/>
      <c r="K83" s="27"/>
      <c r="L83" s="28"/>
    </row>
    <row r="84" spans="1:12" ht="18" x14ac:dyDescent="0.35">
      <c r="A84" s="8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4" s="27"/>
      <c r="H84" s="27"/>
      <c r="I84" s="27"/>
      <c r="J84" s="27"/>
      <c r="K84" s="27"/>
      <c r="L84" s="28"/>
    </row>
    <row r="85" spans="1:12" ht="18" x14ac:dyDescent="0.35">
      <c r="A85" s="8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5" s="27"/>
      <c r="H85" s="27"/>
      <c r="I85" s="27"/>
      <c r="J85" s="27"/>
      <c r="K85" s="27"/>
      <c r="L85" s="28"/>
    </row>
    <row r="86" spans="1:12" ht="18" x14ac:dyDescent="0.35">
      <c r="A86" s="8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6" s="27"/>
      <c r="H86" s="27"/>
      <c r="I86" s="27"/>
      <c r="J86" s="27"/>
      <c r="K86" s="27"/>
      <c r="L86" s="28"/>
    </row>
    <row r="87" spans="1:12" ht="18" x14ac:dyDescent="0.35">
      <c r="A87" s="8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7" s="27"/>
      <c r="H87" s="27"/>
      <c r="I87" s="27"/>
      <c r="J87" s="27"/>
      <c r="K87" s="27"/>
      <c r="L87" s="28"/>
    </row>
    <row r="88" spans="1:12" ht="18" x14ac:dyDescent="0.35">
      <c r="A88" s="8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8" s="27"/>
      <c r="H88" s="27"/>
      <c r="I88" s="27"/>
      <c r="J88" s="27"/>
      <c r="K88" s="27"/>
      <c r="L88" s="28"/>
    </row>
    <row r="89" spans="1:12" ht="18" x14ac:dyDescent="0.35">
      <c r="A89" s="8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9" s="27"/>
      <c r="H89" s="27"/>
      <c r="I89" s="27"/>
      <c r="J89" s="27"/>
      <c r="K89" s="27"/>
      <c r="L89" s="28"/>
    </row>
    <row r="90" spans="1:12" ht="18" x14ac:dyDescent="0.35">
      <c r="A90" s="8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0" s="27"/>
      <c r="H90" s="27"/>
      <c r="I90" s="27"/>
      <c r="J90" s="27"/>
      <c r="K90" s="27"/>
      <c r="L90" s="28"/>
    </row>
    <row r="91" spans="1:12" ht="18" x14ac:dyDescent="0.35">
      <c r="A91" s="8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1" s="27"/>
      <c r="H91" s="27"/>
      <c r="I91" s="27"/>
      <c r="J91" s="27"/>
      <c r="K91" s="27"/>
      <c r="L91" s="28"/>
    </row>
    <row r="92" spans="1:12" ht="18" x14ac:dyDescent="0.35">
      <c r="A92" s="8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2" s="27"/>
      <c r="H92" s="27"/>
      <c r="I92" s="27"/>
      <c r="J92" s="27"/>
      <c r="K92" s="27"/>
      <c r="L92" s="28"/>
    </row>
    <row r="93" spans="1:12" ht="18" x14ac:dyDescent="0.35">
      <c r="A93" s="8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3" s="27"/>
      <c r="H93" s="27"/>
      <c r="I93" s="27"/>
      <c r="J93" s="27"/>
      <c r="K93" s="27"/>
      <c r="L93" s="28"/>
    </row>
    <row r="94" spans="1:12" ht="18" x14ac:dyDescent="0.35">
      <c r="A94" s="8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4" s="27"/>
      <c r="H94" s="27"/>
      <c r="I94" s="27"/>
      <c r="J94" s="27"/>
      <c r="K94" s="27"/>
      <c r="L94" s="28"/>
    </row>
    <row r="95" spans="1:12" ht="18" x14ac:dyDescent="0.35">
      <c r="A95" s="8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5" s="27"/>
      <c r="H95" s="27"/>
      <c r="I95" s="27"/>
      <c r="J95" s="27"/>
      <c r="K95" s="27"/>
      <c r="L95" s="28"/>
    </row>
    <row r="96" spans="1:12" ht="18" x14ac:dyDescent="0.35">
      <c r="A96" s="8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6" s="27"/>
      <c r="H96" s="27"/>
      <c r="I96" s="27"/>
      <c r="J96" s="27"/>
      <c r="K96" s="27"/>
      <c r="L96" s="28"/>
    </row>
    <row r="97" spans="1:12" ht="18" x14ac:dyDescent="0.35">
      <c r="A97" s="8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7" s="27"/>
      <c r="H97" s="27"/>
      <c r="I97" s="27"/>
      <c r="J97" s="27"/>
      <c r="K97" s="27"/>
      <c r="L97" s="28"/>
    </row>
    <row r="98" spans="1:12" ht="18" x14ac:dyDescent="0.35">
      <c r="A98" s="8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8" s="27"/>
      <c r="H98" s="27"/>
      <c r="I98" s="27"/>
      <c r="J98" s="27"/>
      <c r="K98" s="27"/>
      <c r="L98" s="28"/>
    </row>
    <row r="99" spans="1:12" ht="18" x14ac:dyDescent="0.35">
      <c r="A99" s="8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9" s="27"/>
      <c r="H99" s="27"/>
      <c r="I99" s="27"/>
      <c r="J99" s="27"/>
      <c r="K99" s="27"/>
      <c r="L99" s="28"/>
    </row>
    <row r="100" spans="1:12" ht="18" x14ac:dyDescent="0.35">
      <c r="A100" s="8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0" s="27"/>
      <c r="H100" s="27"/>
      <c r="I100" s="27"/>
      <c r="J100" s="27"/>
      <c r="K100" s="27"/>
      <c r="L100" s="28"/>
    </row>
    <row r="101" spans="1:12" ht="18" x14ac:dyDescent="0.35">
      <c r="A101" s="8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1" s="27"/>
      <c r="H101" s="27"/>
      <c r="I101" s="27"/>
      <c r="J101" s="27"/>
      <c r="K101" s="27"/>
      <c r="L101" s="28"/>
    </row>
    <row r="102" spans="1:12" ht="18" x14ac:dyDescent="0.35">
      <c r="A102" s="8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2" s="27"/>
      <c r="H102" s="27"/>
      <c r="I102" s="27"/>
      <c r="J102" s="27"/>
      <c r="K102" s="27"/>
      <c r="L102" s="28"/>
    </row>
    <row r="103" spans="1:12" ht="18" x14ac:dyDescent="0.35">
      <c r="A103" s="8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3" s="27"/>
      <c r="H103" s="27"/>
      <c r="I103" s="27"/>
      <c r="J103" s="27"/>
      <c r="K103" s="27"/>
      <c r="L103" s="28"/>
    </row>
    <row r="104" spans="1:12" ht="18" x14ac:dyDescent="0.35">
      <c r="A104" s="8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4" s="27"/>
      <c r="H104" s="27"/>
      <c r="I104" s="27"/>
      <c r="J104" s="27"/>
      <c r="K104" s="27"/>
      <c r="L104" s="28"/>
    </row>
    <row r="105" spans="1:12" ht="18" x14ac:dyDescent="0.35">
      <c r="A105" s="8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5" s="27"/>
      <c r="H105" s="27"/>
      <c r="I105" s="27"/>
      <c r="J105" s="27"/>
      <c r="K105" s="27"/>
      <c r="L105" s="28"/>
    </row>
    <row r="106" spans="1:12" ht="18" x14ac:dyDescent="0.35">
      <c r="A106" s="8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6" s="27"/>
      <c r="H106" s="27"/>
      <c r="I106" s="27"/>
      <c r="J106" s="27"/>
      <c r="K106" s="27"/>
      <c r="L106" s="28"/>
    </row>
    <row r="107" spans="1:12" ht="18" x14ac:dyDescent="0.35">
      <c r="A107" s="8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7" s="27"/>
      <c r="H107" s="27"/>
      <c r="I107" s="27"/>
      <c r="J107" s="27"/>
      <c r="K107" s="27"/>
      <c r="L107" s="28"/>
    </row>
    <row r="108" spans="1:12" ht="18" x14ac:dyDescent="0.35">
      <c r="A108" s="8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8" s="27"/>
      <c r="H108" s="27"/>
      <c r="I108" s="27"/>
      <c r="J108" s="27"/>
      <c r="K108" s="27"/>
      <c r="L108" s="28"/>
    </row>
    <row r="109" spans="1:12" ht="18" x14ac:dyDescent="0.35">
      <c r="A109" s="8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9" s="27"/>
      <c r="H109" s="27"/>
      <c r="I109" s="27"/>
      <c r="J109" s="27"/>
      <c r="K109" s="27"/>
      <c r="L109" s="28"/>
    </row>
    <row r="110" spans="1:12" ht="18" x14ac:dyDescent="0.35">
      <c r="A110" s="8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0" s="27"/>
      <c r="H110" s="27"/>
      <c r="I110" s="27"/>
      <c r="J110" s="27"/>
      <c r="K110" s="27"/>
      <c r="L110" s="28"/>
    </row>
    <row r="111" spans="1:12" ht="18" x14ac:dyDescent="0.35">
      <c r="A111" s="8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1" s="27"/>
      <c r="H111" s="27"/>
      <c r="I111" s="27"/>
      <c r="J111" s="27"/>
      <c r="K111" s="27"/>
      <c r="L111" s="28"/>
    </row>
    <row r="112" spans="1:12" ht="18" x14ac:dyDescent="0.35">
      <c r="A112" s="8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2" s="27"/>
      <c r="H112" s="27"/>
      <c r="I112" s="27"/>
      <c r="J112" s="27"/>
      <c r="K112" s="27"/>
      <c r="L112" s="28"/>
    </row>
    <row r="113" spans="1:12" ht="18" x14ac:dyDescent="0.35">
      <c r="A113" s="8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3" s="27"/>
      <c r="H113" s="27"/>
      <c r="I113" s="27"/>
      <c r="J113" s="27"/>
      <c r="K113" s="27"/>
      <c r="L113" s="28"/>
    </row>
    <row r="114" spans="1:12" ht="18" x14ac:dyDescent="0.35">
      <c r="A114" s="8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4" s="27"/>
      <c r="H114" s="27"/>
      <c r="I114" s="27"/>
      <c r="J114" s="27"/>
      <c r="K114" s="27"/>
      <c r="L114" s="28"/>
    </row>
    <row r="115" spans="1:12" ht="18" x14ac:dyDescent="0.35">
      <c r="A115" s="8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5" s="27"/>
      <c r="H115" s="27"/>
      <c r="I115" s="27"/>
      <c r="J115" s="27"/>
      <c r="K115" s="27"/>
      <c r="L115" s="28"/>
    </row>
    <row r="116" spans="1:12" ht="18" x14ac:dyDescent="0.35">
      <c r="A116" s="8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6" s="27"/>
      <c r="H116" s="27"/>
      <c r="I116" s="27"/>
      <c r="J116" s="27"/>
      <c r="K116" s="27"/>
      <c r="L116" s="28"/>
    </row>
    <row r="117" spans="1:12" ht="18" x14ac:dyDescent="0.35">
      <c r="A117" s="8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7" s="27"/>
      <c r="H117" s="27"/>
      <c r="I117" s="27"/>
      <c r="J117" s="27"/>
      <c r="K117" s="27"/>
      <c r="L117" s="28"/>
    </row>
    <row r="118" spans="1:12" ht="18" x14ac:dyDescent="0.35">
      <c r="A118" s="8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8" s="27"/>
      <c r="H118" s="27"/>
      <c r="I118" s="27"/>
      <c r="J118" s="27"/>
      <c r="K118" s="27"/>
      <c r="L118" s="28"/>
    </row>
    <row r="119" spans="1:12" ht="18" x14ac:dyDescent="0.35">
      <c r="A119" s="8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9" s="27"/>
      <c r="H119" s="27"/>
      <c r="I119" s="27"/>
      <c r="J119" s="27"/>
      <c r="K119" s="27"/>
      <c r="L119" s="28"/>
    </row>
    <row r="120" spans="1:12" ht="18" x14ac:dyDescent="0.35">
      <c r="A120" s="8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0" s="27"/>
      <c r="H120" s="27"/>
      <c r="I120" s="27"/>
      <c r="J120" s="27"/>
      <c r="K120" s="27"/>
      <c r="L120" s="28"/>
    </row>
    <row r="121" spans="1:12" ht="18" x14ac:dyDescent="0.35">
      <c r="A121" s="8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1" s="27"/>
      <c r="H121" s="27"/>
      <c r="I121" s="27"/>
      <c r="J121" s="27"/>
      <c r="K121" s="27"/>
      <c r="L121" s="28"/>
    </row>
    <row r="122" spans="1:12" ht="18" x14ac:dyDescent="0.35">
      <c r="A122" s="8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2" s="27"/>
      <c r="H122" s="27"/>
      <c r="I122" s="27"/>
      <c r="J122" s="27"/>
      <c r="K122" s="27"/>
      <c r="L122" s="28"/>
    </row>
    <row r="123" spans="1:12" ht="18" x14ac:dyDescent="0.35">
      <c r="A123" s="8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3" s="27"/>
      <c r="H123" s="27"/>
      <c r="I123" s="27"/>
      <c r="J123" s="27"/>
      <c r="K123" s="27"/>
      <c r="L123" s="28"/>
    </row>
    <row r="124" spans="1:12" ht="18" x14ac:dyDescent="0.35">
      <c r="A124" s="8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4" s="27"/>
      <c r="H124" s="27"/>
      <c r="I124" s="27"/>
      <c r="J124" s="27"/>
      <c r="K124" s="27"/>
      <c r="L124" s="28"/>
    </row>
    <row r="125" spans="1:12" ht="18" x14ac:dyDescent="0.35">
      <c r="A125" s="8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5" s="27"/>
      <c r="H125" s="27"/>
      <c r="I125" s="27"/>
      <c r="J125" s="27"/>
      <c r="K125" s="27"/>
      <c r="L125" s="28"/>
    </row>
    <row r="126" spans="1:12" ht="18" x14ac:dyDescent="0.35">
      <c r="A126" s="8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6" s="27"/>
      <c r="H126" s="27"/>
      <c r="I126" s="27"/>
      <c r="J126" s="27"/>
      <c r="K126" s="27"/>
      <c r="L126" s="28"/>
    </row>
    <row r="127" spans="1:12" ht="18" x14ac:dyDescent="0.35">
      <c r="A127" s="8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7" s="27"/>
      <c r="H127" s="27"/>
      <c r="I127" s="27"/>
      <c r="J127" s="27"/>
      <c r="K127" s="27"/>
      <c r="L127" s="28"/>
    </row>
    <row r="128" spans="1:12" ht="18" x14ac:dyDescent="0.35">
      <c r="A128" s="8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8" s="27"/>
      <c r="H128" s="27"/>
      <c r="I128" s="27"/>
      <c r="J128" s="27"/>
      <c r="K128" s="27"/>
      <c r="L128" s="28"/>
    </row>
    <row r="129" spans="1:12" ht="18" x14ac:dyDescent="0.35">
      <c r="A129" s="8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9" s="27"/>
      <c r="H129" s="27"/>
      <c r="I129" s="27"/>
      <c r="J129" s="27"/>
      <c r="K129" s="27"/>
      <c r="L129" s="28"/>
    </row>
    <row r="130" spans="1:12" ht="18" x14ac:dyDescent="0.35">
      <c r="A130" s="8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0" s="27"/>
      <c r="H130" s="27"/>
      <c r="I130" s="27"/>
      <c r="J130" s="27"/>
      <c r="K130" s="27"/>
      <c r="L130" s="28"/>
    </row>
    <row r="131" spans="1:12" ht="18" x14ac:dyDescent="0.35">
      <c r="A131" s="8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1" s="27"/>
      <c r="H131" s="27"/>
      <c r="I131" s="27"/>
      <c r="J131" s="27"/>
      <c r="K131" s="27"/>
      <c r="L131" s="28"/>
    </row>
    <row r="132" spans="1:12" ht="18" x14ac:dyDescent="0.35">
      <c r="A132" s="8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2" s="27"/>
      <c r="H132" s="27"/>
      <c r="I132" s="27"/>
      <c r="J132" s="27"/>
      <c r="K132" s="27"/>
      <c r="L132" s="28"/>
    </row>
    <row r="133" spans="1:12" ht="18" x14ac:dyDescent="0.35">
      <c r="A133" s="8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3" s="27"/>
      <c r="H133" s="27"/>
      <c r="I133" s="27"/>
      <c r="J133" s="27"/>
      <c r="K133" s="27"/>
      <c r="L133" s="28"/>
    </row>
    <row r="134" spans="1:12" ht="18" x14ac:dyDescent="0.35">
      <c r="A134" s="8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4" s="27"/>
      <c r="H134" s="27"/>
      <c r="I134" s="27"/>
      <c r="J134" s="27"/>
      <c r="K134" s="27"/>
      <c r="L134" s="28"/>
    </row>
    <row r="135" spans="1:12" ht="18" x14ac:dyDescent="0.35">
      <c r="A135" s="8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5" s="27"/>
      <c r="H135" s="27"/>
      <c r="I135" s="27"/>
      <c r="J135" s="27"/>
      <c r="K135" s="27"/>
      <c r="L135" s="28"/>
    </row>
    <row r="136" spans="1:12" ht="18" x14ac:dyDescent="0.35">
      <c r="A136" s="8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6" s="27"/>
      <c r="H136" s="27"/>
      <c r="I136" s="27"/>
      <c r="J136" s="27"/>
      <c r="K136" s="27"/>
      <c r="L136" s="28"/>
    </row>
    <row r="137" spans="1:12" ht="18" x14ac:dyDescent="0.35">
      <c r="A137" s="8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7" s="27"/>
      <c r="H137" s="27"/>
      <c r="I137" s="27"/>
      <c r="J137" s="27"/>
      <c r="K137" s="27"/>
      <c r="L137" s="28"/>
    </row>
    <row r="138" spans="1:12" ht="18" x14ac:dyDescent="0.35">
      <c r="A138" s="8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8" s="27"/>
      <c r="H138" s="27"/>
      <c r="I138" s="27"/>
      <c r="J138" s="27"/>
      <c r="K138" s="27"/>
      <c r="L138" s="28"/>
    </row>
    <row r="139" spans="1:12" ht="18" x14ac:dyDescent="0.35">
      <c r="A139" s="8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9" s="27"/>
      <c r="H139" s="27"/>
      <c r="I139" s="27"/>
      <c r="J139" s="27"/>
      <c r="K139" s="27"/>
      <c r="L139" s="28"/>
    </row>
    <row r="140" spans="1:12" ht="18" x14ac:dyDescent="0.35">
      <c r="A140" s="8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0" s="27"/>
      <c r="H140" s="27"/>
      <c r="I140" s="27"/>
      <c r="J140" s="27"/>
      <c r="K140" s="27"/>
      <c r="L140" s="28"/>
    </row>
    <row r="141" spans="1:12" ht="18" x14ac:dyDescent="0.35">
      <c r="A141" s="8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1" s="27"/>
      <c r="H141" s="27"/>
      <c r="I141" s="27"/>
      <c r="J141" s="27"/>
      <c r="K141" s="27"/>
      <c r="L141" s="28"/>
    </row>
    <row r="142" spans="1:12" ht="18" x14ac:dyDescent="0.35">
      <c r="A142" s="8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2" s="27"/>
      <c r="H142" s="27"/>
      <c r="I142" s="27"/>
      <c r="J142" s="27"/>
      <c r="K142" s="27"/>
      <c r="L142" s="28"/>
    </row>
    <row r="143" spans="1:12" ht="18" x14ac:dyDescent="0.35">
      <c r="A143" s="8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3" s="27"/>
      <c r="H143" s="27"/>
      <c r="I143" s="27"/>
      <c r="J143" s="27"/>
      <c r="K143" s="27"/>
      <c r="L143" s="28"/>
    </row>
    <row r="144" spans="1:12" ht="18" x14ac:dyDescent="0.35">
      <c r="A144" s="8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4" s="27"/>
      <c r="H144" s="27"/>
      <c r="I144" s="27"/>
      <c r="J144" s="27"/>
      <c r="K144" s="27"/>
      <c r="L144" s="28"/>
    </row>
    <row r="145" spans="1:12" ht="18" x14ac:dyDescent="0.35">
      <c r="A145" s="8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5" s="27"/>
      <c r="H145" s="27"/>
      <c r="I145" s="27"/>
      <c r="J145" s="27"/>
      <c r="K145" s="27"/>
      <c r="L145" s="28"/>
    </row>
    <row r="146" spans="1:12" ht="18" x14ac:dyDescent="0.35">
      <c r="A146" s="8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6" s="27"/>
      <c r="H146" s="27"/>
      <c r="I146" s="27"/>
      <c r="J146" s="27"/>
      <c r="K146" s="27"/>
      <c r="L146" s="28"/>
    </row>
    <row r="147" spans="1:12" ht="18" x14ac:dyDescent="0.35">
      <c r="A147" s="8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7" s="27"/>
      <c r="H147" s="27"/>
      <c r="I147" s="27"/>
      <c r="J147" s="27"/>
      <c r="K147" s="27"/>
      <c r="L147" s="28"/>
    </row>
    <row r="148" spans="1:12" ht="18" x14ac:dyDescent="0.35">
      <c r="A148" s="8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8" s="27"/>
      <c r="H148" s="27"/>
      <c r="I148" s="27"/>
      <c r="J148" s="27"/>
      <c r="K148" s="27"/>
      <c r="L148" s="28"/>
    </row>
    <row r="149" spans="1:12" ht="18" x14ac:dyDescent="0.35">
      <c r="A149" s="8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9" s="27"/>
      <c r="H149" s="27"/>
      <c r="I149" s="27"/>
      <c r="J149" s="27"/>
      <c r="K149" s="27"/>
      <c r="L149" s="28"/>
    </row>
    <row r="150" spans="1:12" ht="18" x14ac:dyDescent="0.35">
      <c r="A150" s="8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0" s="27"/>
      <c r="H150" s="27"/>
      <c r="I150" s="27"/>
      <c r="J150" s="27"/>
      <c r="K150" s="27"/>
      <c r="L150" s="28"/>
    </row>
    <row r="151" spans="1:12" ht="18" x14ac:dyDescent="0.35">
      <c r="A151" s="8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1" s="27"/>
      <c r="H151" s="27"/>
      <c r="I151" s="27"/>
      <c r="J151" s="27"/>
      <c r="K151" s="27"/>
      <c r="L151" s="28"/>
    </row>
    <row r="152" spans="1:12" ht="18" x14ac:dyDescent="0.35">
      <c r="A152" s="8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2" s="27"/>
      <c r="H152" s="27"/>
      <c r="I152" s="27"/>
      <c r="J152" s="27"/>
      <c r="K152" s="27"/>
      <c r="L152" s="28"/>
    </row>
    <row r="153" spans="1:12" ht="18" x14ac:dyDescent="0.35">
      <c r="A153" s="8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3" s="27"/>
      <c r="H153" s="27"/>
      <c r="I153" s="27"/>
      <c r="J153" s="27"/>
      <c r="K153" s="27"/>
      <c r="L153" s="28"/>
    </row>
    <row r="154" spans="1:12" ht="18" x14ac:dyDescent="0.35">
      <c r="A154" s="8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4" s="27"/>
      <c r="H154" s="27"/>
      <c r="I154" s="27"/>
      <c r="J154" s="27"/>
      <c r="K154" s="27"/>
      <c r="L154" s="28"/>
    </row>
    <row r="155" spans="1:12" ht="18" x14ac:dyDescent="0.35">
      <c r="A155" s="8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5" s="27"/>
      <c r="H155" s="27"/>
      <c r="I155" s="27"/>
      <c r="J155" s="27"/>
      <c r="K155" s="27"/>
      <c r="L155" s="28"/>
    </row>
    <row r="156" spans="1:12" ht="18" x14ac:dyDescent="0.35">
      <c r="A156" s="8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6" s="27"/>
      <c r="H156" s="27"/>
      <c r="I156" s="27"/>
      <c r="J156" s="27"/>
      <c r="K156" s="27"/>
      <c r="L156" s="28"/>
    </row>
    <row r="157" spans="1:12" ht="18" x14ac:dyDescent="0.35">
      <c r="A157" s="8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7" s="27"/>
      <c r="H157" s="27"/>
      <c r="I157" s="27"/>
      <c r="J157" s="27"/>
      <c r="K157" s="27"/>
      <c r="L157" s="28"/>
    </row>
    <row r="158" spans="1:12" ht="18" x14ac:dyDescent="0.35">
      <c r="A158" s="8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8" s="27"/>
      <c r="H158" s="27"/>
      <c r="I158" s="27"/>
      <c r="J158" s="27"/>
      <c r="K158" s="27"/>
      <c r="L158" s="28"/>
    </row>
    <row r="159" spans="1:12" ht="18" x14ac:dyDescent="0.35">
      <c r="A159" s="8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9" s="27"/>
      <c r="H159" s="27"/>
      <c r="I159" s="27"/>
      <c r="J159" s="27"/>
      <c r="K159" s="27"/>
      <c r="L159" s="28"/>
    </row>
    <row r="160" spans="1:12" ht="18" x14ac:dyDescent="0.35">
      <c r="A160" s="8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0" s="27"/>
      <c r="H160" s="27"/>
      <c r="I160" s="27"/>
      <c r="J160" s="27"/>
      <c r="K160" s="27"/>
      <c r="L160" s="28"/>
    </row>
    <row r="161" spans="1:12" ht="18" x14ac:dyDescent="0.35">
      <c r="A161" s="8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1" s="27"/>
      <c r="H161" s="27"/>
      <c r="I161" s="27"/>
      <c r="J161" s="27"/>
      <c r="K161" s="27"/>
      <c r="L161" s="28"/>
    </row>
    <row r="162" spans="1:12" ht="18" x14ac:dyDescent="0.35">
      <c r="A162" s="8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2" s="27"/>
      <c r="H162" s="27"/>
      <c r="I162" s="27"/>
      <c r="J162" s="27"/>
      <c r="K162" s="27"/>
      <c r="L162" s="28"/>
    </row>
    <row r="163" spans="1:12" ht="18" x14ac:dyDescent="0.35">
      <c r="A163" s="8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3" s="27"/>
      <c r="H163" s="27"/>
      <c r="I163" s="27"/>
      <c r="J163" s="27"/>
      <c r="K163" s="27"/>
      <c r="L163" s="28"/>
    </row>
    <row r="164" spans="1:12" ht="18" x14ac:dyDescent="0.35">
      <c r="A164" s="8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4" s="27"/>
      <c r="H164" s="27"/>
      <c r="I164" s="27"/>
      <c r="J164" s="27"/>
      <c r="K164" s="27"/>
      <c r="L164" s="28"/>
    </row>
    <row r="165" spans="1:12" ht="18" x14ac:dyDescent="0.35">
      <c r="A165" s="8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5" s="27"/>
      <c r="H165" s="27"/>
      <c r="I165" s="27"/>
      <c r="J165" s="27"/>
      <c r="K165" s="27"/>
      <c r="L165" s="28"/>
    </row>
    <row r="166" spans="1:12" ht="18" x14ac:dyDescent="0.35">
      <c r="A166" s="8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6" s="27"/>
      <c r="H166" s="27"/>
      <c r="I166" s="27"/>
      <c r="J166" s="27"/>
      <c r="K166" s="27"/>
      <c r="L166" s="28"/>
    </row>
    <row r="167" spans="1:12" ht="18" x14ac:dyDescent="0.35">
      <c r="A167" s="8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7" s="27"/>
      <c r="H167" s="27"/>
      <c r="I167" s="27"/>
      <c r="J167" s="27"/>
      <c r="K167" s="27"/>
      <c r="L167" s="28"/>
    </row>
    <row r="168" spans="1:12" ht="18" x14ac:dyDescent="0.35">
      <c r="A168" s="8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8" s="27"/>
      <c r="H168" s="27"/>
      <c r="I168" s="27"/>
      <c r="J168" s="27"/>
      <c r="K168" s="27"/>
      <c r="L168" s="28"/>
    </row>
    <row r="169" spans="1:12" ht="18" x14ac:dyDescent="0.35">
      <c r="A169" s="8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9" s="27"/>
      <c r="H169" s="27"/>
      <c r="I169" s="27"/>
      <c r="J169" s="27"/>
      <c r="K169" s="27"/>
      <c r="L169" s="28"/>
    </row>
    <row r="170" spans="1:12" ht="18" x14ac:dyDescent="0.35">
      <c r="A170" s="8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0" s="27"/>
      <c r="H170" s="27"/>
      <c r="I170" s="27"/>
      <c r="J170" s="27"/>
      <c r="K170" s="27"/>
      <c r="L170" s="28"/>
    </row>
    <row r="171" spans="1:12" ht="18" x14ac:dyDescent="0.35">
      <c r="A171" s="8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1" s="27"/>
      <c r="H171" s="27"/>
      <c r="I171" s="27"/>
      <c r="J171" s="27"/>
      <c r="K171" s="27"/>
      <c r="L171" s="28"/>
    </row>
    <row r="172" spans="1:12" ht="18" x14ac:dyDescent="0.35">
      <c r="A172" s="8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2" s="27"/>
      <c r="H172" s="27"/>
      <c r="I172" s="27"/>
      <c r="J172" s="27"/>
      <c r="K172" s="27"/>
      <c r="L172" s="28"/>
    </row>
    <row r="173" spans="1:12" ht="18" x14ac:dyDescent="0.35">
      <c r="A173" s="8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3" s="27"/>
      <c r="H173" s="27"/>
      <c r="I173" s="27"/>
      <c r="J173" s="27"/>
      <c r="K173" s="27"/>
      <c r="L173" s="28"/>
    </row>
    <row r="174" spans="1:12" ht="18" x14ac:dyDescent="0.35">
      <c r="A174" s="8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4" s="27"/>
      <c r="H174" s="27"/>
      <c r="I174" s="27"/>
      <c r="J174" s="27"/>
      <c r="K174" s="27"/>
      <c r="L174" s="28"/>
    </row>
    <row r="175" spans="1:12" ht="18" x14ac:dyDescent="0.35">
      <c r="A175" s="8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5" s="27"/>
      <c r="H175" s="27"/>
      <c r="I175" s="27"/>
      <c r="J175" s="27"/>
      <c r="K175" s="27"/>
      <c r="L175" s="28"/>
    </row>
    <row r="176" spans="1:12" ht="18" x14ac:dyDescent="0.35">
      <c r="A176" s="8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6" s="27"/>
      <c r="H176" s="27"/>
      <c r="I176" s="27"/>
      <c r="J176" s="27"/>
      <c r="K176" s="27"/>
      <c r="L176" s="28"/>
    </row>
    <row r="177" spans="1:12" ht="18" x14ac:dyDescent="0.3">
      <c r="A177" s="8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9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7" s="27"/>
      <c r="H177" s="27"/>
      <c r="I177" s="27"/>
      <c r="J177" s="27"/>
      <c r="K177" s="27"/>
      <c r="L177" s="28"/>
    </row>
    <row r="178" spans="1:12" ht="18" x14ac:dyDescent="0.35">
      <c r="A178" s="8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8" s="27"/>
      <c r="H178" s="27"/>
      <c r="I178" s="27"/>
      <c r="J178" s="27"/>
      <c r="K178" s="27"/>
      <c r="L178" s="28"/>
    </row>
    <row r="179" spans="1:12" ht="18" x14ac:dyDescent="0.35">
      <c r="A179" s="8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9" s="27"/>
      <c r="H179" s="27"/>
      <c r="I179" s="27"/>
      <c r="J179" s="27"/>
      <c r="K179" s="27"/>
      <c r="L179" s="28"/>
    </row>
    <row r="180" spans="1:12" ht="18" x14ac:dyDescent="0.35">
      <c r="A180" s="8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0" s="27"/>
      <c r="H180" s="27"/>
      <c r="I180" s="27"/>
      <c r="J180" s="27"/>
      <c r="K180" s="27"/>
      <c r="L180" s="28"/>
    </row>
    <row r="181" spans="1:12" ht="18" x14ac:dyDescent="0.35">
      <c r="A181" s="8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1" s="27"/>
      <c r="H181" s="27"/>
      <c r="I181" s="27"/>
      <c r="J181" s="27"/>
      <c r="K181" s="27"/>
      <c r="L181" s="28"/>
    </row>
    <row r="182" spans="1:12" ht="18" x14ac:dyDescent="0.35">
      <c r="A182" s="8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2" s="27"/>
      <c r="H182" s="27"/>
      <c r="I182" s="27"/>
      <c r="J182" s="27"/>
      <c r="K182" s="27"/>
      <c r="L182" s="28"/>
    </row>
    <row r="183" spans="1:12" ht="18" x14ac:dyDescent="0.35">
      <c r="A183" s="8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3" s="27"/>
      <c r="H183" s="27"/>
      <c r="I183" s="27"/>
      <c r="J183" s="27"/>
      <c r="K183" s="27"/>
      <c r="L183" s="28"/>
    </row>
    <row r="184" spans="1:12" ht="18" x14ac:dyDescent="0.35">
      <c r="A184" s="8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4" s="27"/>
      <c r="H184" s="27"/>
      <c r="I184" s="27"/>
      <c r="J184" s="27"/>
      <c r="K184" s="27"/>
      <c r="L184" s="28"/>
    </row>
    <row r="185" spans="1:12" ht="18" x14ac:dyDescent="0.35">
      <c r="A185" s="8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5" s="27"/>
      <c r="H185" s="27"/>
      <c r="I185" s="27"/>
      <c r="J185" s="27"/>
      <c r="K185" s="27"/>
      <c r="L185" s="28"/>
    </row>
    <row r="186" spans="1:12" ht="18" x14ac:dyDescent="0.35">
      <c r="A186" s="8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6" s="27"/>
      <c r="H186" s="27"/>
      <c r="I186" s="27"/>
      <c r="J186" s="27"/>
      <c r="K186" s="27"/>
      <c r="L186" s="28"/>
    </row>
    <row r="187" spans="1:12" ht="18" x14ac:dyDescent="0.35">
      <c r="A187" s="8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7" s="27"/>
      <c r="H187" s="27"/>
      <c r="I187" s="27"/>
      <c r="J187" s="27"/>
      <c r="K187" s="27"/>
      <c r="L187" s="28"/>
    </row>
    <row r="188" spans="1:12" ht="18" x14ac:dyDescent="0.35">
      <c r="A188" s="8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8" s="27"/>
      <c r="H188" s="27"/>
      <c r="I188" s="27"/>
      <c r="J188" s="27"/>
      <c r="K188" s="27"/>
      <c r="L188" s="28"/>
    </row>
    <row r="189" spans="1:12" ht="18" x14ac:dyDescent="0.35">
      <c r="A189" s="8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9" s="27"/>
      <c r="H189" s="27"/>
      <c r="I189" s="27"/>
      <c r="J189" s="27"/>
      <c r="K189" s="27"/>
      <c r="L189" s="28"/>
    </row>
    <row r="190" spans="1:12" ht="18" x14ac:dyDescent="0.35">
      <c r="A190" s="8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0" s="27"/>
      <c r="H190" s="27"/>
      <c r="I190" s="27"/>
      <c r="J190" s="27"/>
      <c r="K190" s="27"/>
      <c r="L190" s="28"/>
    </row>
    <row r="191" spans="1:12" ht="18" x14ac:dyDescent="0.35">
      <c r="A191" s="8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1" s="27"/>
      <c r="H191" s="27"/>
      <c r="I191" s="27"/>
      <c r="J191" s="27"/>
      <c r="K191" s="27"/>
      <c r="L191" s="28"/>
    </row>
    <row r="192" spans="1:12" ht="18" x14ac:dyDescent="0.35">
      <c r="A192" s="8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2" s="27"/>
      <c r="H192" s="27"/>
      <c r="I192" s="27"/>
      <c r="J192" s="27"/>
      <c r="K192" s="27"/>
      <c r="L192" s="28"/>
    </row>
    <row r="193" spans="1:12" ht="18" x14ac:dyDescent="0.35">
      <c r="A193" s="11">
        <v>47464</v>
      </c>
      <c r="B193" s="12" t="s">
        <v>258</v>
      </c>
      <c r="C193" s="12" t="s">
        <v>227</v>
      </c>
      <c r="D193" s="12" t="s">
        <v>259</v>
      </c>
      <c r="E193" s="12">
        <v>12</v>
      </c>
      <c r="F193" s="24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3" s="30"/>
      <c r="H193" s="30"/>
      <c r="I193" s="30"/>
      <c r="J193" s="30"/>
      <c r="K193" s="30"/>
      <c r="L193" s="31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5D14-1866-4447-A881-086B387C23AD}">
  <sheetPr codeName="Sheet3"/>
  <dimension ref="A1:L193"/>
  <sheetViews>
    <sheetView workbookViewId="0">
      <selection activeCell="G2" sqref="G2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s="4" customFormat="1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54419</v>
      </c>
      <c r="B2" s="9" t="s">
        <v>23</v>
      </c>
      <c r="C2" s="9" t="s">
        <v>24</v>
      </c>
      <c r="D2" s="9" t="s">
        <v>28</v>
      </c>
      <c r="E2" s="9">
        <v>24</v>
      </c>
      <c r="F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60039</v>
      </c>
      <c r="B4" s="9" t="s">
        <v>23</v>
      </c>
      <c r="C4" s="9" t="s">
        <v>24</v>
      </c>
      <c r="D4" s="9" t="s">
        <v>29</v>
      </c>
      <c r="E4" s="9">
        <v>24</v>
      </c>
      <c r="F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64212</v>
      </c>
      <c r="B5" s="9" t="s">
        <v>23</v>
      </c>
      <c r="C5" s="9" t="s">
        <v>24</v>
      </c>
      <c r="D5" s="9" t="s">
        <v>27</v>
      </c>
      <c r="E5" s="9">
        <v>24</v>
      </c>
      <c r="F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66549</v>
      </c>
      <c r="B6" s="9" t="s">
        <v>23</v>
      </c>
      <c r="C6" s="9" t="s">
        <v>24</v>
      </c>
      <c r="D6" s="9" t="s">
        <v>25</v>
      </c>
      <c r="E6" s="9">
        <v>24</v>
      </c>
      <c r="F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191</v>
      </c>
      <c r="B9" s="9" t="s">
        <v>33</v>
      </c>
      <c r="C9" s="9" t="s">
        <v>24</v>
      </c>
      <c r="D9" s="9" t="s">
        <v>35</v>
      </c>
      <c r="E9" s="9">
        <v>24</v>
      </c>
      <c r="F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383</v>
      </c>
      <c r="B10" s="9" t="s">
        <v>33</v>
      </c>
      <c r="C10" s="9" t="s">
        <v>24</v>
      </c>
      <c r="D10" s="9" t="s">
        <v>34</v>
      </c>
      <c r="E10" s="9">
        <v>24</v>
      </c>
      <c r="F1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22465</v>
      </c>
      <c r="B11" s="9" t="s">
        <v>33</v>
      </c>
      <c r="C11" s="9" t="s">
        <v>24</v>
      </c>
      <c r="D11" s="9" t="s">
        <v>38</v>
      </c>
      <c r="E11" s="9">
        <v>24</v>
      </c>
      <c r="F1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24115</v>
      </c>
      <c r="B12" s="9" t="s">
        <v>33</v>
      </c>
      <c r="C12" s="9" t="s">
        <v>24</v>
      </c>
      <c r="D12" s="9" t="s">
        <v>39</v>
      </c>
      <c r="E12" s="9">
        <v>24</v>
      </c>
      <c r="F1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32471</v>
      </c>
      <c r="B13" s="9" t="s">
        <v>33</v>
      </c>
      <c r="C13" s="9" t="s">
        <v>24</v>
      </c>
      <c r="D13" s="9" t="s">
        <v>40</v>
      </c>
      <c r="E13" s="9">
        <v>24</v>
      </c>
      <c r="F1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34663</v>
      </c>
      <c r="B14" s="9" t="s">
        <v>33</v>
      </c>
      <c r="C14" s="9" t="s">
        <v>24</v>
      </c>
      <c r="D14" s="9" t="s">
        <v>41</v>
      </c>
      <c r="E14" s="9">
        <v>24</v>
      </c>
      <c r="F1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36728</v>
      </c>
      <c r="B15" s="9" t="s">
        <v>33</v>
      </c>
      <c r="C15" s="9" t="s">
        <v>24</v>
      </c>
      <c r="D15" s="9" t="s">
        <v>37</v>
      </c>
      <c r="E15" s="9">
        <v>24</v>
      </c>
      <c r="F1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116393</v>
      </c>
      <c r="B16" s="9" t="s">
        <v>33</v>
      </c>
      <c r="C16" s="9" t="s">
        <v>24</v>
      </c>
      <c r="D16" s="9" t="s">
        <v>36</v>
      </c>
      <c r="E16" s="9">
        <v>24</v>
      </c>
      <c r="F1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134</v>
      </c>
      <c r="B19" s="9" t="s">
        <v>44</v>
      </c>
      <c r="C19" s="9" t="s">
        <v>45</v>
      </c>
      <c r="D19" s="9" t="s">
        <v>49</v>
      </c>
      <c r="E19" s="9">
        <v>6</v>
      </c>
      <c r="F1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53301</v>
      </c>
      <c r="B21" s="9" t="s">
        <v>44</v>
      </c>
      <c r="C21" s="9" t="s">
        <v>45</v>
      </c>
      <c r="D21" s="9" t="s">
        <v>47</v>
      </c>
      <c r="E21" s="9">
        <v>6</v>
      </c>
      <c r="F2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35199</v>
      </c>
      <c r="B63" s="9" t="s">
        <v>99</v>
      </c>
      <c r="C63" s="9" t="s">
        <v>100</v>
      </c>
      <c r="D63" s="9" t="s">
        <v>105</v>
      </c>
      <c r="E63" s="9">
        <v>12</v>
      </c>
      <c r="F6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35257</v>
      </c>
      <c r="B64" s="9" t="s">
        <v>99</v>
      </c>
      <c r="C64" s="9" t="s">
        <v>100</v>
      </c>
      <c r="D64" s="9" t="s">
        <v>104</v>
      </c>
      <c r="E64" s="9">
        <v>12</v>
      </c>
      <c r="F6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35342</v>
      </c>
      <c r="B65" s="9" t="s">
        <v>99</v>
      </c>
      <c r="C65" s="9" t="s">
        <v>100</v>
      </c>
      <c r="D65" s="9" t="s">
        <v>109</v>
      </c>
      <c r="E65" s="9">
        <v>12</v>
      </c>
      <c r="F6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37272</v>
      </c>
      <c r="B66" s="9" t="s">
        <v>99</v>
      </c>
      <c r="C66" s="9" t="s">
        <v>100</v>
      </c>
      <c r="D66" s="9" t="s">
        <v>108</v>
      </c>
      <c r="E66" s="9">
        <v>6</v>
      </c>
      <c r="F6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42817</v>
      </c>
      <c r="B67" s="9" t="s">
        <v>99</v>
      </c>
      <c r="C67" s="9" t="s">
        <v>100</v>
      </c>
      <c r="D67" s="9" t="s">
        <v>107</v>
      </c>
      <c r="E67" s="9">
        <v>6</v>
      </c>
      <c r="F6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55272</v>
      </c>
      <c r="B68" s="9" t="s">
        <v>99</v>
      </c>
      <c r="C68" s="9" t="s">
        <v>100</v>
      </c>
      <c r="D68" s="9" t="s">
        <v>102</v>
      </c>
      <c r="E68" s="9">
        <v>6</v>
      </c>
      <c r="F6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55624</v>
      </c>
      <c r="B69" s="9" t="s">
        <v>99</v>
      </c>
      <c r="C69" s="9" t="s">
        <v>100</v>
      </c>
      <c r="D69" s="9" t="s">
        <v>110</v>
      </c>
      <c r="E69" s="9">
        <v>6</v>
      </c>
      <c r="F6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56662</v>
      </c>
      <c r="B70" s="9" t="s">
        <v>99</v>
      </c>
      <c r="C70" s="9" t="s">
        <v>100</v>
      </c>
      <c r="D70" s="9" t="s">
        <v>103</v>
      </c>
      <c r="E70" s="9">
        <v>12</v>
      </c>
      <c r="F7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69117</v>
      </c>
      <c r="B71" s="9" t="s">
        <v>99</v>
      </c>
      <c r="C71" s="9" t="s">
        <v>100</v>
      </c>
      <c r="D71" s="9" t="s">
        <v>106</v>
      </c>
      <c r="E71" s="9">
        <v>6</v>
      </c>
      <c r="F7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69451</v>
      </c>
      <c r="B72" s="9" t="s">
        <v>99</v>
      </c>
      <c r="C72" s="9" t="s">
        <v>100</v>
      </c>
      <c r="D72" s="9" t="s">
        <v>101</v>
      </c>
      <c r="E72" s="9">
        <v>6</v>
      </c>
      <c r="F7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30787</v>
      </c>
      <c r="B73" s="9" t="s">
        <v>111</v>
      </c>
      <c r="C73" s="9" t="s">
        <v>100</v>
      </c>
      <c r="D73" s="9" t="s">
        <v>113</v>
      </c>
      <c r="E73" s="9">
        <v>12</v>
      </c>
      <c r="F7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58826</v>
      </c>
      <c r="B74" s="9" t="s">
        <v>111</v>
      </c>
      <c r="C74" s="9" t="s">
        <v>100</v>
      </c>
      <c r="D74" s="9" t="s">
        <v>112</v>
      </c>
      <c r="E74" s="9">
        <v>12</v>
      </c>
      <c r="F7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37350</v>
      </c>
      <c r="B76" s="9" t="s">
        <v>114</v>
      </c>
      <c r="C76" s="9" t="s">
        <v>100</v>
      </c>
      <c r="D76" s="9" t="s">
        <v>117</v>
      </c>
      <c r="E76" s="9">
        <v>6</v>
      </c>
      <c r="F7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64873</v>
      </c>
      <c r="B77" s="9" t="s">
        <v>114</v>
      </c>
      <c r="C77" s="9" t="s">
        <v>100</v>
      </c>
      <c r="D77" s="9" t="s">
        <v>116</v>
      </c>
      <c r="E77" s="9">
        <v>6</v>
      </c>
      <c r="F7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23103</v>
      </c>
      <c r="B78" s="9" t="s">
        <v>118</v>
      </c>
      <c r="C78" s="9" t="s">
        <v>100</v>
      </c>
      <c r="D78" s="9" t="s">
        <v>122</v>
      </c>
      <c r="E78" s="9">
        <v>12</v>
      </c>
      <c r="F7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43634</v>
      </c>
      <c r="B80" s="9" t="s">
        <v>118</v>
      </c>
      <c r="C80" s="9" t="s">
        <v>100</v>
      </c>
      <c r="D80" s="9" t="s">
        <v>128</v>
      </c>
      <c r="E80" s="9">
        <v>12</v>
      </c>
      <c r="F8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51559</v>
      </c>
      <c r="B81" s="9" t="s">
        <v>118</v>
      </c>
      <c r="C81" s="9" t="s">
        <v>100</v>
      </c>
      <c r="D81" s="9" t="s">
        <v>119</v>
      </c>
      <c r="E81" s="9">
        <v>12</v>
      </c>
      <c r="F8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56309</v>
      </c>
      <c r="B82" s="9" t="s">
        <v>118</v>
      </c>
      <c r="C82" s="9" t="s">
        <v>100</v>
      </c>
      <c r="D82" s="9" t="s">
        <v>126</v>
      </c>
      <c r="E82" s="9">
        <v>6</v>
      </c>
      <c r="F8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62944</v>
      </c>
      <c r="B84" s="9" t="s">
        <v>118</v>
      </c>
      <c r="C84" s="9" t="s">
        <v>100</v>
      </c>
      <c r="D84" s="9" t="s">
        <v>124</v>
      </c>
      <c r="E84" s="9">
        <v>6</v>
      </c>
      <c r="F8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63102</v>
      </c>
      <c r="B85" s="9" t="s">
        <v>118</v>
      </c>
      <c r="C85" s="9" t="s">
        <v>100</v>
      </c>
      <c r="D85" s="9" t="s">
        <v>121</v>
      </c>
      <c r="E85" s="9">
        <v>6</v>
      </c>
      <c r="F8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67349</v>
      </c>
      <c r="B87" s="9" t="s">
        <v>118</v>
      </c>
      <c r="C87" s="9" t="s">
        <v>100</v>
      </c>
      <c r="D87" s="9" t="s">
        <v>125</v>
      </c>
      <c r="E87" s="9">
        <v>6</v>
      </c>
      <c r="F8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36935</v>
      </c>
      <c r="B88" s="9" t="s">
        <v>129</v>
      </c>
      <c r="C88" s="9" t="s">
        <v>100</v>
      </c>
      <c r="D88" s="9" t="s">
        <v>134</v>
      </c>
      <c r="E88" s="9">
        <v>12</v>
      </c>
      <c r="F8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52415</v>
      </c>
      <c r="B89" s="9" t="s">
        <v>129</v>
      </c>
      <c r="C89" s="9" t="s">
        <v>100</v>
      </c>
      <c r="D89" s="9" t="s">
        <v>132</v>
      </c>
      <c r="E89" s="9">
        <v>12</v>
      </c>
      <c r="F8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53020</v>
      </c>
      <c r="B90" s="9" t="s">
        <v>129</v>
      </c>
      <c r="C90" s="9" t="s">
        <v>100</v>
      </c>
      <c r="D90" s="9" t="s">
        <v>133</v>
      </c>
      <c r="E90" s="9">
        <v>6</v>
      </c>
      <c r="F9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56067</v>
      </c>
      <c r="B91" s="9" t="s">
        <v>129</v>
      </c>
      <c r="C91" s="9" t="s">
        <v>100</v>
      </c>
      <c r="D91" s="9" t="s">
        <v>130</v>
      </c>
      <c r="E91" s="9">
        <v>6</v>
      </c>
      <c r="F9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63301</v>
      </c>
      <c r="B92" s="9" t="s">
        <v>129</v>
      </c>
      <c r="C92" s="9" t="s">
        <v>100</v>
      </c>
      <c r="D92" s="9" t="s">
        <v>131</v>
      </c>
      <c r="E92" s="9">
        <v>6</v>
      </c>
      <c r="F9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186</v>
      </c>
      <c r="B95" s="9" t="s">
        <v>139</v>
      </c>
      <c r="C95" s="9" t="s">
        <v>136</v>
      </c>
      <c r="D95" s="9" t="s">
        <v>142</v>
      </c>
      <c r="E95" s="9">
        <v>6</v>
      </c>
      <c r="F9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20535</v>
      </c>
      <c r="B96" s="9" t="s">
        <v>139</v>
      </c>
      <c r="C96" s="9" t="s">
        <v>136</v>
      </c>
      <c r="D96" s="9" t="s">
        <v>145</v>
      </c>
      <c r="E96" s="9">
        <v>6</v>
      </c>
      <c r="F9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22147</v>
      </c>
      <c r="B97" s="9" t="s">
        <v>139</v>
      </c>
      <c r="C97" s="9" t="s">
        <v>136</v>
      </c>
      <c r="D97" s="9" t="s">
        <v>140</v>
      </c>
      <c r="E97" s="9">
        <v>6</v>
      </c>
      <c r="F9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51561</v>
      </c>
      <c r="B100" s="9" t="s">
        <v>139</v>
      </c>
      <c r="C100" s="9" t="s">
        <v>136</v>
      </c>
      <c r="D100" s="9" t="s">
        <v>146</v>
      </c>
      <c r="E100" s="9">
        <v>12</v>
      </c>
      <c r="F10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58788</v>
      </c>
      <c r="B101" s="9" t="s">
        <v>139</v>
      </c>
      <c r="C101" s="9" t="s">
        <v>136</v>
      </c>
      <c r="D101" s="9" t="s">
        <v>141</v>
      </c>
      <c r="E101" s="9">
        <v>6</v>
      </c>
      <c r="F10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46217</v>
      </c>
      <c r="B102" s="9" t="s">
        <v>147</v>
      </c>
      <c r="C102" s="9" t="s">
        <v>136</v>
      </c>
      <c r="D102" s="9" t="s">
        <v>154</v>
      </c>
      <c r="E102" s="9">
        <v>12</v>
      </c>
      <c r="F10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46889</v>
      </c>
      <c r="B103" s="9" t="s">
        <v>147</v>
      </c>
      <c r="C103" s="9" t="s">
        <v>136</v>
      </c>
      <c r="D103" s="9" t="s">
        <v>151</v>
      </c>
      <c r="E103" s="9">
        <v>6</v>
      </c>
      <c r="F10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54488</v>
      </c>
      <c r="B105" s="9" t="s">
        <v>147</v>
      </c>
      <c r="C105" s="9" t="s">
        <v>136</v>
      </c>
      <c r="D105" s="9" t="s">
        <v>152</v>
      </c>
      <c r="E105" s="9">
        <v>6</v>
      </c>
      <c r="F10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54489</v>
      </c>
      <c r="B106" s="9" t="s">
        <v>147</v>
      </c>
      <c r="C106" s="9" t="s">
        <v>136</v>
      </c>
      <c r="D106" s="9" t="s">
        <v>153</v>
      </c>
      <c r="E106" s="9">
        <v>6</v>
      </c>
      <c r="F10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60404</v>
      </c>
      <c r="B107" s="9" t="s">
        <v>147</v>
      </c>
      <c r="C107" s="9" t="s">
        <v>136</v>
      </c>
      <c r="D107" s="9" t="s">
        <v>149</v>
      </c>
      <c r="E107" s="9">
        <v>6</v>
      </c>
      <c r="F10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63299</v>
      </c>
      <c r="B108" s="9" t="s">
        <v>147</v>
      </c>
      <c r="C108" s="9" t="s">
        <v>136</v>
      </c>
      <c r="D108" s="9" t="s">
        <v>148</v>
      </c>
      <c r="E108" s="9">
        <v>6</v>
      </c>
      <c r="F10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13235</v>
      </c>
      <c r="B111" s="9" t="s">
        <v>158</v>
      </c>
      <c r="C111" s="9" t="s">
        <v>156</v>
      </c>
      <c r="D111" s="9" t="s">
        <v>161</v>
      </c>
      <c r="E111" s="9">
        <v>6</v>
      </c>
      <c r="F11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16264</v>
      </c>
      <c r="B112" s="9" t="s">
        <v>158</v>
      </c>
      <c r="C112" s="9" t="s">
        <v>156</v>
      </c>
      <c r="D112" s="9" t="s">
        <v>162</v>
      </c>
      <c r="E112" s="9">
        <v>6</v>
      </c>
      <c r="F11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33975</v>
      </c>
      <c r="B113" s="9" t="s">
        <v>158</v>
      </c>
      <c r="C113" s="9" t="s">
        <v>156</v>
      </c>
      <c r="D113" s="9" t="s">
        <v>164</v>
      </c>
      <c r="E113" s="9">
        <v>6</v>
      </c>
      <c r="F11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42446</v>
      </c>
      <c r="B114" s="9" t="s">
        <v>158</v>
      </c>
      <c r="C114" s="9" t="s">
        <v>156</v>
      </c>
      <c r="D114" s="9" t="s">
        <v>165</v>
      </c>
      <c r="E114" s="9">
        <v>6</v>
      </c>
      <c r="F11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45247</v>
      </c>
      <c r="B115" s="9" t="s">
        <v>158</v>
      </c>
      <c r="C115" s="9" t="s">
        <v>156</v>
      </c>
      <c r="D115" s="9" t="s">
        <v>159</v>
      </c>
      <c r="E115" s="9">
        <v>6</v>
      </c>
      <c r="F11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45248</v>
      </c>
      <c r="B116" s="9" t="s">
        <v>158</v>
      </c>
      <c r="C116" s="9" t="s">
        <v>156</v>
      </c>
      <c r="D116" s="9" t="s">
        <v>163</v>
      </c>
      <c r="E116" s="9">
        <v>6</v>
      </c>
      <c r="F11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53</v>
      </c>
      <c r="B118" s="9" t="s">
        <v>166</v>
      </c>
      <c r="C118" s="9" t="s">
        <v>156</v>
      </c>
      <c r="D118" s="9" t="s">
        <v>169</v>
      </c>
      <c r="E118" s="9">
        <v>6</v>
      </c>
      <c r="F11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436</v>
      </c>
      <c r="B119" s="9" t="s">
        <v>166</v>
      </c>
      <c r="C119" s="9" t="s">
        <v>156</v>
      </c>
      <c r="D119" s="9" t="s">
        <v>168</v>
      </c>
      <c r="E119" s="9">
        <v>6</v>
      </c>
      <c r="F11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30</v>
      </c>
      <c r="B121" s="9" t="s">
        <v>171</v>
      </c>
      <c r="C121" s="9" t="s">
        <v>156</v>
      </c>
      <c r="D121" s="9" t="s">
        <v>176</v>
      </c>
      <c r="E121" s="9">
        <v>6</v>
      </c>
      <c r="F12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37124</v>
      </c>
      <c r="B124" s="9" t="s">
        <v>171</v>
      </c>
      <c r="C124" s="9" t="s">
        <v>156</v>
      </c>
      <c r="D124" s="9" t="s">
        <v>172</v>
      </c>
      <c r="E124" s="9">
        <v>6</v>
      </c>
      <c r="F12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66</v>
      </c>
      <c r="B127" s="9" t="s">
        <v>178</v>
      </c>
      <c r="C127" s="9" t="s">
        <v>156</v>
      </c>
      <c r="D127" s="9" t="s">
        <v>187</v>
      </c>
      <c r="E127" s="9">
        <v>6</v>
      </c>
      <c r="F12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286</v>
      </c>
      <c r="B128" s="9" t="s">
        <v>178</v>
      </c>
      <c r="C128" s="9" t="s">
        <v>156</v>
      </c>
      <c r="D128" s="9" t="s">
        <v>188</v>
      </c>
      <c r="E128" s="9">
        <v>6</v>
      </c>
      <c r="F12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503</v>
      </c>
      <c r="B129" s="9" t="s">
        <v>178</v>
      </c>
      <c r="C129" s="9" t="s">
        <v>156</v>
      </c>
      <c r="D129" s="9" t="s">
        <v>192</v>
      </c>
      <c r="E129" s="9">
        <v>6</v>
      </c>
      <c r="F12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15979</v>
      </c>
      <c r="B130" s="9" t="s">
        <v>178</v>
      </c>
      <c r="C130" s="9" t="s">
        <v>156</v>
      </c>
      <c r="D130" s="9" t="s">
        <v>184</v>
      </c>
      <c r="E130" s="9">
        <v>6</v>
      </c>
      <c r="F13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17906</v>
      </c>
      <c r="B131" s="9" t="s">
        <v>178</v>
      </c>
      <c r="C131" s="9" t="s">
        <v>156</v>
      </c>
      <c r="D131" s="9" t="s">
        <v>180</v>
      </c>
      <c r="E131" s="9">
        <v>6</v>
      </c>
      <c r="F13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18100</v>
      </c>
      <c r="B132" s="9" t="s">
        <v>178</v>
      </c>
      <c r="C132" s="9" t="s">
        <v>156</v>
      </c>
      <c r="D132" s="9" t="s">
        <v>190</v>
      </c>
      <c r="E132" s="9">
        <v>6</v>
      </c>
      <c r="F13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32483</v>
      </c>
      <c r="B135" s="9" t="s">
        <v>178</v>
      </c>
      <c r="C135" s="9" t="s">
        <v>156</v>
      </c>
      <c r="D135" s="9" t="s">
        <v>179</v>
      </c>
      <c r="E135" s="9">
        <v>6</v>
      </c>
      <c r="F13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34091</v>
      </c>
      <c r="B136" s="9" t="s">
        <v>178</v>
      </c>
      <c r="C136" s="9" t="s">
        <v>156</v>
      </c>
      <c r="D136" s="9" t="s">
        <v>182</v>
      </c>
      <c r="E136" s="9">
        <v>6</v>
      </c>
      <c r="F13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39143</v>
      </c>
      <c r="B137" s="9" t="s">
        <v>178</v>
      </c>
      <c r="C137" s="9" t="s">
        <v>156</v>
      </c>
      <c r="D137" s="9" t="s">
        <v>186</v>
      </c>
      <c r="E137" s="9">
        <v>6</v>
      </c>
      <c r="F13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43490</v>
      </c>
      <c r="B138" s="9" t="s">
        <v>178</v>
      </c>
      <c r="C138" s="9" t="s">
        <v>156</v>
      </c>
      <c r="D138" s="9" t="s">
        <v>189</v>
      </c>
      <c r="E138" s="9">
        <v>6</v>
      </c>
      <c r="F13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54494</v>
      </c>
      <c r="B140" s="9" t="s">
        <v>178</v>
      </c>
      <c r="C140" s="9" t="s">
        <v>156</v>
      </c>
      <c r="D140" s="9" t="s">
        <v>185</v>
      </c>
      <c r="E140" s="9">
        <v>6</v>
      </c>
      <c r="F14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58444</v>
      </c>
      <c r="B141" s="9" t="s">
        <v>178</v>
      </c>
      <c r="C141" s="9" t="s">
        <v>156</v>
      </c>
      <c r="D141" s="9" t="s">
        <v>183</v>
      </c>
      <c r="E141" s="9">
        <v>6</v>
      </c>
      <c r="F14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399</v>
      </c>
      <c r="B144" s="9" t="s">
        <v>198</v>
      </c>
      <c r="C144" s="9" t="s">
        <v>156</v>
      </c>
      <c r="D144" s="9" t="s">
        <v>202</v>
      </c>
      <c r="E144" s="9">
        <v>6</v>
      </c>
      <c r="F14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16270</v>
      </c>
      <c r="B145" s="9" t="s">
        <v>198</v>
      </c>
      <c r="C145" s="9" t="s">
        <v>156</v>
      </c>
      <c r="D145" s="9" t="s">
        <v>201</v>
      </c>
      <c r="E145" s="9">
        <v>12</v>
      </c>
      <c r="F14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18101</v>
      </c>
      <c r="B146" s="9" t="s">
        <v>198</v>
      </c>
      <c r="C146" s="9" t="s">
        <v>156</v>
      </c>
      <c r="D146" s="9" t="s">
        <v>200</v>
      </c>
      <c r="E146" s="9">
        <v>6</v>
      </c>
      <c r="F14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33353</v>
      </c>
      <c r="B147" s="9" t="s">
        <v>198</v>
      </c>
      <c r="C147" s="9" t="s">
        <v>156</v>
      </c>
      <c r="D147" s="9" t="s">
        <v>199</v>
      </c>
      <c r="E147" s="9">
        <v>6</v>
      </c>
      <c r="F14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32398</v>
      </c>
      <c r="B150" s="9" t="s">
        <v>205</v>
      </c>
      <c r="C150" s="9" t="s">
        <v>156</v>
      </c>
      <c r="D150" s="9" t="s">
        <v>209</v>
      </c>
      <c r="E150" s="9">
        <v>12</v>
      </c>
      <c r="F15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35071</v>
      </c>
      <c r="B151" s="9" t="s">
        <v>205</v>
      </c>
      <c r="C151" s="9" t="s">
        <v>156</v>
      </c>
      <c r="D151" s="9" t="s">
        <v>206</v>
      </c>
      <c r="E151" s="9">
        <v>6</v>
      </c>
      <c r="F15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52397</v>
      </c>
      <c r="B153" s="9" t="s">
        <v>205</v>
      </c>
      <c r="C153" s="9" t="s">
        <v>156</v>
      </c>
      <c r="D153" s="9" t="s">
        <v>207</v>
      </c>
      <c r="E153" s="9">
        <v>6</v>
      </c>
      <c r="F15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22901</v>
      </c>
      <c r="B154" s="9" t="s">
        <v>210</v>
      </c>
      <c r="C154" s="9" t="s">
        <v>156</v>
      </c>
      <c r="D154" s="9" t="s">
        <v>212</v>
      </c>
      <c r="E154" s="9">
        <v>6</v>
      </c>
      <c r="F15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32094</v>
      </c>
      <c r="B155" s="9" t="s">
        <v>210</v>
      </c>
      <c r="C155" s="9" t="s">
        <v>156</v>
      </c>
      <c r="D155" s="9" t="s">
        <v>211</v>
      </c>
      <c r="E155" s="9">
        <v>6</v>
      </c>
      <c r="F15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39034</v>
      </c>
      <c r="B156" s="9" t="s">
        <v>210</v>
      </c>
      <c r="C156" s="9" t="s">
        <v>156</v>
      </c>
      <c r="D156" s="9" t="s">
        <v>214</v>
      </c>
      <c r="E156" s="9">
        <v>6</v>
      </c>
      <c r="F15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53294</v>
      </c>
      <c r="B157" s="9" t="s">
        <v>210</v>
      </c>
      <c r="C157" s="9" t="s">
        <v>156</v>
      </c>
      <c r="D157" s="9" t="s">
        <v>213</v>
      </c>
      <c r="E157" s="9">
        <v>6</v>
      </c>
      <c r="F15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33</v>
      </c>
      <c r="B158" s="9" t="s">
        <v>215</v>
      </c>
      <c r="C158" s="9" t="s">
        <v>156</v>
      </c>
      <c r="D158" s="9" t="s">
        <v>223</v>
      </c>
      <c r="E158" s="9">
        <v>12</v>
      </c>
      <c r="F15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13268</v>
      </c>
      <c r="B159" s="9" t="s">
        <v>215</v>
      </c>
      <c r="C159" s="9" t="s">
        <v>156</v>
      </c>
      <c r="D159" s="9" t="s">
        <v>225</v>
      </c>
      <c r="E159" s="9">
        <v>6</v>
      </c>
      <c r="F15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15866</v>
      </c>
      <c r="B160" s="9" t="s">
        <v>215</v>
      </c>
      <c r="C160" s="9" t="s">
        <v>156</v>
      </c>
      <c r="D160" s="9" t="s">
        <v>220</v>
      </c>
      <c r="E160" s="9">
        <v>6</v>
      </c>
      <c r="F16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16960</v>
      </c>
      <c r="B161" s="9" t="s">
        <v>215</v>
      </c>
      <c r="C161" s="9" t="s">
        <v>156</v>
      </c>
      <c r="D161" s="9" t="s">
        <v>217</v>
      </c>
      <c r="E161" s="9">
        <v>6</v>
      </c>
      <c r="F16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17740</v>
      </c>
      <c r="B162" s="9" t="s">
        <v>215</v>
      </c>
      <c r="C162" s="9" t="s">
        <v>156</v>
      </c>
      <c r="D162" s="9" t="s">
        <v>222</v>
      </c>
      <c r="E162" s="9">
        <v>6</v>
      </c>
      <c r="F16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22627</v>
      </c>
      <c r="B163" s="9" t="s">
        <v>215</v>
      </c>
      <c r="C163" s="9" t="s">
        <v>156</v>
      </c>
      <c r="D163" s="9" t="s">
        <v>218</v>
      </c>
      <c r="E163" s="9">
        <v>6</v>
      </c>
      <c r="F16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32450</v>
      </c>
      <c r="B164" s="9" t="s">
        <v>215</v>
      </c>
      <c r="C164" s="9" t="s">
        <v>156</v>
      </c>
      <c r="D164" s="9" t="s">
        <v>221</v>
      </c>
      <c r="E164" s="9">
        <v>6</v>
      </c>
      <c r="F16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40369</v>
      </c>
      <c r="B165" s="9" t="s">
        <v>215</v>
      </c>
      <c r="C165" s="9" t="s">
        <v>156</v>
      </c>
      <c r="D165" s="9" t="s">
        <v>224</v>
      </c>
      <c r="E165" s="9">
        <v>6</v>
      </c>
      <c r="F16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53307</v>
      </c>
      <c r="B166" s="9" t="s">
        <v>215</v>
      </c>
      <c r="C166" s="9" t="s">
        <v>156</v>
      </c>
      <c r="D166" s="9" t="s">
        <v>216</v>
      </c>
      <c r="E166" s="9">
        <v>6</v>
      </c>
      <c r="F16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9350</v>
      </c>
      <c r="B168" s="9" t="s">
        <v>226</v>
      </c>
      <c r="C168" s="9" t="s">
        <v>227</v>
      </c>
      <c r="D168" s="9" t="s">
        <v>230</v>
      </c>
      <c r="E168" s="9">
        <v>12</v>
      </c>
      <c r="F16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35051</v>
      </c>
      <c r="B169" s="9" t="s">
        <v>226</v>
      </c>
      <c r="C169" s="9" t="s">
        <v>227</v>
      </c>
      <c r="D169" s="9" t="s">
        <v>234</v>
      </c>
      <c r="E169" s="9">
        <v>6</v>
      </c>
      <c r="F16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35260</v>
      </c>
      <c r="B170" s="9" t="s">
        <v>226</v>
      </c>
      <c r="C170" s="9" t="s">
        <v>227</v>
      </c>
      <c r="D170" s="9" t="s">
        <v>235</v>
      </c>
      <c r="E170" s="9">
        <v>6</v>
      </c>
      <c r="F17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44485</v>
      </c>
      <c r="B171" s="9" t="s">
        <v>226</v>
      </c>
      <c r="C171" s="9" t="s">
        <v>227</v>
      </c>
      <c r="D171" s="9" t="s">
        <v>236</v>
      </c>
      <c r="E171" s="9">
        <v>6</v>
      </c>
      <c r="F17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56072</v>
      </c>
      <c r="B174" s="9" t="s">
        <v>226</v>
      </c>
      <c r="C174" s="9" t="s">
        <v>227</v>
      </c>
      <c r="D174" s="9" t="s">
        <v>229</v>
      </c>
      <c r="E174" s="9">
        <v>6</v>
      </c>
      <c r="F17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56324</v>
      </c>
      <c r="B175" s="9" t="s">
        <v>226</v>
      </c>
      <c r="C175" s="9" t="s">
        <v>227</v>
      </c>
      <c r="D175" s="9" t="s">
        <v>231</v>
      </c>
      <c r="E175" s="9">
        <v>6</v>
      </c>
      <c r="F17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64469</v>
      </c>
      <c r="B176" s="9" t="s">
        <v>226</v>
      </c>
      <c r="C176" s="9" t="s">
        <v>227</v>
      </c>
      <c r="D176" s="9" t="s">
        <v>228</v>
      </c>
      <c r="E176" s="9">
        <v>6</v>
      </c>
      <c r="F17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57711</v>
      </c>
      <c r="B179" s="9" t="s">
        <v>240</v>
      </c>
      <c r="C179" s="9" t="s">
        <v>227</v>
      </c>
      <c r="D179" s="9" t="s">
        <v>242</v>
      </c>
      <c r="E179" s="9">
        <v>12</v>
      </c>
      <c r="F17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67291</v>
      </c>
      <c r="B180" s="9" t="s">
        <v>240</v>
      </c>
      <c r="C180" s="9" t="s">
        <v>227</v>
      </c>
      <c r="D180" s="9" t="s">
        <v>241</v>
      </c>
      <c r="E180" s="9">
        <v>6</v>
      </c>
      <c r="F18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37396</v>
      </c>
      <c r="B181" s="9" t="s">
        <v>243</v>
      </c>
      <c r="C181" s="9" t="s">
        <v>227</v>
      </c>
      <c r="D181" s="9" t="s">
        <v>247</v>
      </c>
      <c r="E181" s="9">
        <v>6</v>
      </c>
      <c r="F18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47463</v>
      </c>
      <c r="B183" s="9" t="s">
        <v>243</v>
      </c>
      <c r="C183" s="9" t="s">
        <v>227</v>
      </c>
      <c r="D183" s="9" t="s">
        <v>244</v>
      </c>
      <c r="E183" s="9">
        <v>12</v>
      </c>
      <c r="F18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58603</v>
      </c>
      <c r="B184" s="9" t="s">
        <v>243</v>
      </c>
      <c r="C184" s="9" t="s">
        <v>227</v>
      </c>
      <c r="D184" s="9" t="s">
        <v>246</v>
      </c>
      <c r="E184" s="9">
        <v>6</v>
      </c>
      <c r="F18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7197</v>
      </c>
      <c r="B186" s="9" t="s">
        <v>250</v>
      </c>
      <c r="C186" s="9" t="s">
        <v>227</v>
      </c>
      <c r="D186" s="9" t="s">
        <v>257</v>
      </c>
      <c r="E186" s="9">
        <v>12</v>
      </c>
      <c r="F18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36676</v>
      </c>
      <c r="B187" s="9" t="s">
        <v>250</v>
      </c>
      <c r="C187" s="9" t="s">
        <v>227</v>
      </c>
      <c r="D187" s="9" t="s">
        <v>256</v>
      </c>
      <c r="E187" s="9">
        <v>6</v>
      </c>
      <c r="F18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37240</v>
      </c>
      <c r="B189" s="9" t="s">
        <v>250</v>
      </c>
      <c r="C189" s="9" t="s">
        <v>227</v>
      </c>
      <c r="D189" s="9" t="s">
        <v>252</v>
      </c>
      <c r="E189" s="9">
        <v>6</v>
      </c>
      <c r="F18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37506</v>
      </c>
      <c r="B190" s="9" t="s">
        <v>250</v>
      </c>
      <c r="C190" s="9" t="s">
        <v>227</v>
      </c>
      <c r="D190" s="9" t="s">
        <v>254</v>
      </c>
      <c r="E190" s="9">
        <v>6</v>
      </c>
      <c r="F19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47824</v>
      </c>
      <c r="B191" s="9" t="s">
        <v>250</v>
      </c>
      <c r="C191" s="9" t="s">
        <v>227</v>
      </c>
      <c r="D191" s="9" t="s">
        <v>255</v>
      </c>
      <c r="E191" s="9">
        <v>6</v>
      </c>
      <c r="F19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51560</v>
      </c>
      <c r="B192" s="9" t="s">
        <v>250</v>
      </c>
      <c r="C192" s="9" t="s">
        <v>227</v>
      </c>
      <c r="D192" s="9" t="s">
        <v>251</v>
      </c>
      <c r="E192" s="9">
        <v>12</v>
      </c>
      <c r="F19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3" s="27"/>
      <c r="H193" s="27"/>
      <c r="I193" s="27"/>
      <c r="J193" s="27"/>
      <c r="K193" s="27"/>
      <c r="L193" s="27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3E23-62CC-4FF1-808B-237A0E20E4B9}">
  <sheetPr codeName="Sheet4"/>
  <dimension ref="A1:L193"/>
  <sheetViews>
    <sheetView workbookViewId="0">
      <pane ySplit="1" topLeftCell="A2" activePane="bottomLeft" state="frozen"/>
      <selection pane="bottomLeft" activeCell="G2" sqref="G2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9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81E8-89D9-45F7-9925-07D00B4FFC2D}">
  <sheetPr codeName="Sheet5"/>
  <dimension ref="A1:L193"/>
  <sheetViews>
    <sheetView workbookViewId="0">
      <pane ySplit="1" topLeftCell="A18" activePane="bottomLeft" state="frozen"/>
      <selection pane="bottomLeft" activeCell="G18" sqref="G18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1" s="27"/>
      <c r="H21" s="27"/>
      <c r="I21" s="27"/>
      <c r="J21" s="27"/>
      <c r="K21" s="27"/>
      <c r="L21" s="27"/>
    </row>
    <row r="22" spans="1:12" hidden="1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2" s="27"/>
      <c r="H22" s="27"/>
      <c r="I22" s="27"/>
      <c r="J22" s="27"/>
      <c r="K22" s="27"/>
      <c r="L22" s="27"/>
    </row>
    <row r="23" spans="1:12" hidden="1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2" s="27"/>
      <c r="H92" s="27"/>
      <c r="I92" s="27"/>
      <c r="J92" s="27"/>
      <c r="K92" s="27"/>
      <c r="L92" s="27"/>
    </row>
    <row r="93" spans="1:12" hidden="1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3" s="27"/>
      <c r="H93" s="27"/>
      <c r="I93" s="27"/>
      <c r="J93" s="27"/>
      <c r="K93" s="27"/>
      <c r="L93" s="27"/>
    </row>
    <row r="94" spans="1:12" hidden="1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4" s="27"/>
      <c r="H94" s="27"/>
      <c r="I94" s="27"/>
      <c r="J94" s="27"/>
      <c r="K94" s="27"/>
      <c r="L94" s="27"/>
    </row>
    <row r="95" spans="1:12" hidden="1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5" s="27"/>
      <c r="H95" s="27"/>
      <c r="I95" s="27"/>
      <c r="J95" s="27"/>
      <c r="K95" s="27"/>
      <c r="L95" s="27"/>
    </row>
    <row r="96" spans="1:12" hidden="1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6" s="27"/>
      <c r="H96" s="27"/>
      <c r="I96" s="27"/>
      <c r="J96" s="27"/>
      <c r="K96" s="27"/>
      <c r="L96" s="27"/>
    </row>
    <row r="97" spans="1:12" hidden="1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7" s="27"/>
      <c r="H97" s="27"/>
      <c r="I97" s="27"/>
      <c r="J97" s="27"/>
      <c r="K97" s="27"/>
      <c r="L97" s="27"/>
    </row>
    <row r="98" spans="1:12" hidden="1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8" s="27"/>
      <c r="H98" s="27"/>
      <c r="I98" s="27"/>
      <c r="J98" s="27"/>
      <c r="K98" s="27"/>
      <c r="L98" s="27"/>
    </row>
    <row r="99" spans="1:12" hidden="1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9" s="27"/>
      <c r="H99" s="27"/>
      <c r="I99" s="27"/>
      <c r="J99" s="27"/>
      <c r="K99" s="27"/>
      <c r="L99" s="27"/>
    </row>
    <row r="100" spans="1:12" hidden="1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0" s="27"/>
      <c r="H100" s="27"/>
      <c r="I100" s="27"/>
      <c r="J100" s="27"/>
      <c r="K100" s="27"/>
      <c r="L100" s="27"/>
    </row>
    <row r="101" spans="1:12" hidden="1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1" s="27"/>
      <c r="H101" s="27"/>
      <c r="I101" s="27"/>
      <c r="J101" s="27"/>
      <c r="K101" s="27"/>
      <c r="L101" s="27"/>
    </row>
    <row r="102" spans="1:12" hidden="1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2" s="27"/>
      <c r="H102" s="27"/>
      <c r="I102" s="27"/>
      <c r="J102" s="27"/>
      <c r="K102" s="27"/>
      <c r="L102" s="27"/>
    </row>
    <row r="103" spans="1:12" hidden="1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3" s="27"/>
      <c r="H103" s="27"/>
      <c r="I103" s="27"/>
      <c r="J103" s="27"/>
      <c r="K103" s="27"/>
      <c r="L103" s="27"/>
    </row>
    <row r="104" spans="1:12" hidden="1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4" s="27"/>
      <c r="H104" s="27"/>
      <c r="I104" s="27"/>
      <c r="J104" s="27"/>
      <c r="K104" s="27"/>
      <c r="L104" s="27"/>
    </row>
    <row r="105" spans="1:12" hidden="1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5" s="27"/>
      <c r="H105" s="27"/>
      <c r="I105" s="27"/>
      <c r="J105" s="27"/>
      <c r="K105" s="27"/>
      <c r="L105" s="27"/>
    </row>
    <row r="106" spans="1:12" hidden="1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6" s="27"/>
      <c r="H106" s="27"/>
      <c r="I106" s="27"/>
      <c r="J106" s="27"/>
      <c r="K106" s="27"/>
      <c r="L106" s="27"/>
    </row>
    <row r="107" spans="1:12" hidden="1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7" s="27"/>
      <c r="H107" s="27"/>
      <c r="I107" s="27"/>
      <c r="J107" s="27"/>
      <c r="K107" s="27"/>
      <c r="L107" s="27"/>
    </row>
    <row r="108" spans="1:12" hidden="1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7" s="27"/>
      <c r="H167" s="27"/>
      <c r="I167" s="27"/>
      <c r="J167" s="27"/>
      <c r="K167" s="27"/>
      <c r="L167" s="27"/>
    </row>
    <row r="168" spans="1:12" hidden="1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8" s="27"/>
      <c r="H168" s="27"/>
      <c r="I168" s="27"/>
      <c r="J168" s="27"/>
      <c r="K168" s="27"/>
      <c r="L168" s="27"/>
    </row>
    <row r="169" spans="1:12" hidden="1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9" s="27"/>
      <c r="H169" s="27"/>
      <c r="I169" s="27"/>
      <c r="J169" s="27"/>
      <c r="K169" s="27"/>
      <c r="L169" s="27"/>
    </row>
    <row r="170" spans="1:12" hidden="1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0" s="27"/>
      <c r="H170" s="27"/>
      <c r="I170" s="27"/>
      <c r="J170" s="27"/>
      <c r="K170" s="27"/>
      <c r="L170" s="27"/>
    </row>
    <row r="171" spans="1:12" hidden="1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1" s="27"/>
      <c r="H171" s="27"/>
      <c r="I171" s="27"/>
      <c r="J171" s="27"/>
      <c r="K171" s="27"/>
      <c r="L171" s="27"/>
    </row>
    <row r="172" spans="1:12" hidden="1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2" s="27"/>
      <c r="H172" s="27"/>
      <c r="I172" s="27"/>
      <c r="J172" s="27"/>
      <c r="K172" s="27"/>
      <c r="L172" s="27"/>
    </row>
    <row r="173" spans="1:12" hidden="1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3" s="27"/>
      <c r="H173" s="27"/>
      <c r="I173" s="27"/>
      <c r="J173" s="27"/>
      <c r="K173" s="27"/>
      <c r="L173" s="27"/>
    </row>
    <row r="174" spans="1:12" hidden="1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4" s="27"/>
      <c r="H174" s="27"/>
      <c r="I174" s="27"/>
      <c r="J174" s="27"/>
      <c r="K174" s="27"/>
      <c r="L174" s="27"/>
    </row>
    <row r="175" spans="1:12" hidden="1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5" s="27"/>
      <c r="H175" s="27"/>
      <c r="I175" s="27"/>
      <c r="J175" s="27"/>
      <c r="K175" s="27"/>
      <c r="L175" s="27"/>
    </row>
    <row r="176" spans="1:12" hidden="1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6" s="27"/>
      <c r="H176" s="27"/>
      <c r="I176" s="27"/>
      <c r="J176" s="27"/>
      <c r="K176" s="27"/>
      <c r="L176" s="27"/>
    </row>
    <row r="177" spans="1:12" hidden="1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7" s="27"/>
      <c r="H177" s="27"/>
      <c r="I177" s="27"/>
      <c r="J177" s="27"/>
      <c r="K177" s="27"/>
      <c r="L177" s="27"/>
    </row>
    <row r="178" spans="1:12" hidden="1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8" s="27"/>
      <c r="H178" s="27"/>
      <c r="I178" s="27"/>
      <c r="J178" s="27"/>
      <c r="K178" s="27"/>
      <c r="L178" s="27"/>
    </row>
    <row r="179" spans="1:12" hidden="1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9" s="27"/>
      <c r="H179" s="27"/>
      <c r="I179" s="27"/>
      <c r="J179" s="27"/>
      <c r="K179" s="27"/>
      <c r="L179" s="27"/>
    </row>
    <row r="180" spans="1:12" hidden="1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0" s="27"/>
      <c r="H180" s="27"/>
      <c r="I180" s="27"/>
      <c r="J180" s="27"/>
      <c r="K180" s="27"/>
      <c r="L180" s="27"/>
    </row>
    <row r="181" spans="1:12" hidden="1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1" s="27"/>
      <c r="H181" s="27"/>
      <c r="I181" s="27"/>
      <c r="J181" s="27"/>
      <c r="K181" s="27"/>
      <c r="L181" s="27"/>
    </row>
    <row r="182" spans="1:12" hidden="1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2" s="27"/>
      <c r="H182" s="27"/>
      <c r="I182" s="27"/>
      <c r="J182" s="27"/>
      <c r="K182" s="27"/>
      <c r="L182" s="27"/>
    </row>
    <row r="183" spans="1:12" hidden="1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3" s="27"/>
      <c r="H183" s="27"/>
      <c r="I183" s="27"/>
      <c r="J183" s="27"/>
      <c r="K183" s="27"/>
      <c r="L183" s="27"/>
    </row>
    <row r="184" spans="1:12" hidden="1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4" s="27"/>
      <c r="H184" s="27"/>
      <c r="I184" s="27"/>
      <c r="J184" s="27"/>
      <c r="K184" s="27"/>
      <c r="L184" s="27"/>
    </row>
    <row r="185" spans="1:12" hidden="1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5" s="27"/>
      <c r="H185" s="27"/>
      <c r="I185" s="27"/>
      <c r="J185" s="27"/>
      <c r="K185" s="27"/>
      <c r="L185" s="27"/>
    </row>
    <row r="186" spans="1:12" hidden="1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6" s="27"/>
      <c r="H186" s="27"/>
      <c r="I186" s="27"/>
      <c r="J186" s="27"/>
      <c r="K186" s="27"/>
      <c r="L186" s="27"/>
    </row>
    <row r="187" spans="1:12" hidden="1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7" s="27"/>
      <c r="H187" s="27"/>
      <c r="I187" s="27"/>
      <c r="J187" s="27"/>
      <c r="K187" s="27"/>
      <c r="L187" s="27"/>
    </row>
    <row r="188" spans="1:12" hidden="1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8" s="27"/>
      <c r="H188" s="27"/>
      <c r="I188" s="27"/>
      <c r="J188" s="27"/>
      <c r="K188" s="27"/>
      <c r="L188" s="27"/>
    </row>
    <row r="189" spans="1:12" hidden="1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9" s="27"/>
      <c r="H189" s="27"/>
      <c r="I189" s="27"/>
      <c r="J189" s="27"/>
      <c r="K189" s="27"/>
      <c r="L189" s="27"/>
    </row>
    <row r="190" spans="1:12" hidden="1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0" s="27"/>
      <c r="H190" s="27"/>
      <c r="I190" s="27"/>
      <c r="J190" s="27"/>
      <c r="K190" s="27"/>
      <c r="L190" s="27"/>
    </row>
    <row r="191" spans="1:12" hidden="1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1" s="27"/>
      <c r="H191" s="27"/>
      <c r="I191" s="27"/>
      <c r="J191" s="27"/>
      <c r="K191" s="27"/>
      <c r="L191" s="27"/>
    </row>
    <row r="192" spans="1:12" hidden="1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2" s="27"/>
      <c r="H192" s="27"/>
      <c r="I192" s="27"/>
      <c r="J192" s="27"/>
      <c r="K192" s="27"/>
      <c r="L192" s="27"/>
    </row>
    <row r="193" spans="1:12" hidden="1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960D-0360-4BF7-864E-295AC247C436}">
  <sheetPr codeName="Sheet6"/>
  <dimension ref="A1:L193"/>
  <sheetViews>
    <sheetView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60D3-E5AB-4CA0-93A5-CB9BBB0B7762}">
  <sheetPr codeName="Sheet7"/>
  <dimension ref="A1:L193"/>
  <sheetViews>
    <sheetView workbookViewId="0">
      <pane ySplit="1" topLeftCell="A2" activePane="bottomLeft" state="frozen"/>
      <selection activeCell="E1" sqref="E1"/>
      <selection pane="bottomLeft" activeCell="G2" sqref="G2:L193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E040-96A5-4727-9D9E-242951DD0828}">
  <sheetPr codeName="Sheet8"/>
  <dimension ref="A1:L193"/>
  <sheetViews>
    <sheetView workbookViewId="0">
      <pane ySplit="1" topLeftCell="A169" activePane="bottomLeft" state="frozen"/>
      <selection pane="bottomLeft" activeCell="G2" sqref="G2:L193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3B7F-841A-4C0A-B5B1-3A82FE0D3D26}">
  <sheetPr codeName="Sheet9"/>
  <dimension ref="A1:L19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6" sqref="J6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3713-5E46-4ACE-8F3F-3DDD0F8A6107}">
  <sheetPr codeName="Sheet10"/>
  <dimension ref="A1:L193"/>
  <sheetViews>
    <sheetView topLeftCell="C1" workbookViewId="0">
      <pane ySplit="17" topLeftCell="A18" activePane="bottomLeft" state="frozen"/>
      <selection activeCell="D1" sqref="D1"/>
      <selection pane="bottomLeft" activeCell="H22" sqref="H22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5">
      <c r="A2" s="9">
        <v>191</v>
      </c>
      <c r="B2" s="9" t="s">
        <v>33</v>
      </c>
      <c r="C2" s="9" t="s">
        <v>24</v>
      </c>
      <c r="D2" s="9" t="s">
        <v>35</v>
      </c>
      <c r="E2" s="9">
        <v>24</v>
      </c>
      <c r="F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5">
      <c r="A3" s="9">
        <v>383</v>
      </c>
      <c r="B3" s="9" t="s">
        <v>33</v>
      </c>
      <c r="C3" s="9" t="s">
        <v>24</v>
      </c>
      <c r="D3" s="9" t="s">
        <v>34</v>
      </c>
      <c r="E3" s="9">
        <v>24</v>
      </c>
      <c r="F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5">
      <c r="A4" s="9">
        <v>22465</v>
      </c>
      <c r="B4" s="9" t="s">
        <v>33</v>
      </c>
      <c r="C4" s="9" t="s">
        <v>24</v>
      </c>
      <c r="D4" s="9" t="s">
        <v>38</v>
      </c>
      <c r="E4" s="9">
        <v>24</v>
      </c>
      <c r="F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5">
      <c r="A5" s="9">
        <v>24115</v>
      </c>
      <c r="B5" s="9" t="s">
        <v>33</v>
      </c>
      <c r="C5" s="9" t="s">
        <v>24</v>
      </c>
      <c r="D5" s="9" t="s">
        <v>39</v>
      </c>
      <c r="E5" s="9">
        <v>24</v>
      </c>
      <c r="F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5">
      <c r="A6" s="9">
        <v>32471</v>
      </c>
      <c r="B6" s="9" t="s">
        <v>33</v>
      </c>
      <c r="C6" s="9" t="s">
        <v>24</v>
      </c>
      <c r="D6" s="9" t="s">
        <v>40</v>
      </c>
      <c r="E6" s="9">
        <v>24</v>
      </c>
      <c r="F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5">
      <c r="A7" s="9">
        <v>34663</v>
      </c>
      <c r="B7" s="9" t="s">
        <v>33</v>
      </c>
      <c r="C7" s="9" t="s">
        <v>24</v>
      </c>
      <c r="D7" s="9" t="s">
        <v>41</v>
      </c>
      <c r="E7" s="9">
        <v>24</v>
      </c>
      <c r="F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5">
      <c r="A8" s="9">
        <v>36728</v>
      </c>
      <c r="B8" s="9" t="s">
        <v>33</v>
      </c>
      <c r="C8" s="9" t="s">
        <v>24</v>
      </c>
      <c r="D8" s="9" t="s">
        <v>37</v>
      </c>
      <c r="E8" s="9">
        <v>24</v>
      </c>
      <c r="F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5">
      <c r="A9" s="9">
        <v>54419</v>
      </c>
      <c r="B9" s="9" t="s">
        <v>23</v>
      </c>
      <c r="C9" s="9" t="s">
        <v>24</v>
      </c>
      <c r="D9" s="9" t="s">
        <v>28</v>
      </c>
      <c r="E9" s="9">
        <v>24</v>
      </c>
      <c r="F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5">
      <c r="A10" s="9">
        <v>59237</v>
      </c>
      <c r="B10" s="9" t="s">
        <v>23</v>
      </c>
      <c r="C10" s="9" t="s">
        <v>24</v>
      </c>
      <c r="D10" s="9" t="s">
        <v>26</v>
      </c>
      <c r="E10" s="9">
        <v>24</v>
      </c>
      <c r="F1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5">
      <c r="A11" s="9">
        <v>60039</v>
      </c>
      <c r="B11" s="9" t="s">
        <v>23</v>
      </c>
      <c r="C11" s="9" t="s">
        <v>24</v>
      </c>
      <c r="D11" s="9" t="s">
        <v>29</v>
      </c>
      <c r="E11" s="9">
        <v>24</v>
      </c>
      <c r="F1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5">
      <c r="A12" s="9">
        <v>60612</v>
      </c>
      <c r="B12" s="9" t="s">
        <v>31</v>
      </c>
      <c r="C12" s="9" t="s">
        <v>24</v>
      </c>
      <c r="D12" s="9" t="s">
        <v>32</v>
      </c>
      <c r="E12" s="9">
        <v>24</v>
      </c>
      <c r="F1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5">
      <c r="A13" s="9">
        <v>64212</v>
      </c>
      <c r="B13" s="9" t="s">
        <v>23</v>
      </c>
      <c r="C13" s="9" t="s">
        <v>24</v>
      </c>
      <c r="D13" s="9" t="s">
        <v>27</v>
      </c>
      <c r="E13" s="9">
        <v>24</v>
      </c>
      <c r="F1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5">
      <c r="A14" s="9">
        <v>66549</v>
      </c>
      <c r="B14" s="9" t="s">
        <v>23</v>
      </c>
      <c r="C14" s="9" t="s">
        <v>24</v>
      </c>
      <c r="D14" s="9" t="s">
        <v>25</v>
      </c>
      <c r="E14" s="9">
        <v>24</v>
      </c>
      <c r="F1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5">
      <c r="A15" s="9">
        <v>67145</v>
      </c>
      <c r="B15" s="9" t="s">
        <v>42</v>
      </c>
      <c r="C15" s="9" t="s">
        <v>24</v>
      </c>
      <c r="D15" s="9" t="s">
        <v>43</v>
      </c>
      <c r="E15" s="9">
        <v>24</v>
      </c>
      <c r="F1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5">
      <c r="A16" s="9">
        <v>69689</v>
      </c>
      <c r="B16" s="9" t="s">
        <v>23</v>
      </c>
      <c r="C16" s="9" t="s">
        <v>24</v>
      </c>
      <c r="D16" s="9" t="s">
        <v>30</v>
      </c>
      <c r="E16" s="9">
        <v>24</v>
      </c>
      <c r="F1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5">
      <c r="A17" s="9">
        <v>116393</v>
      </c>
      <c r="B17" s="9" t="s">
        <v>33</v>
      </c>
      <c r="C17" s="9" t="s">
        <v>24</v>
      </c>
      <c r="D17" s="9" t="s">
        <v>36</v>
      </c>
      <c r="E17" s="9">
        <v>24</v>
      </c>
      <c r="F1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5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5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5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5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5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5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5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5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5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5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5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5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5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5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5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5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5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5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5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5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5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5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5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5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5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5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5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5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5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5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5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5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5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5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5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5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5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5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2" s="27"/>
      <c r="H92" s="27"/>
      <c r="I92" s="27"/>
      <c r="J92" s="27"/>
      <c r="K92" s="27"/>
      <c r="L92" s="27"/>
    </row>
    <row r="93" spans="1:12" hidden="1" x14ac:dyDescent="0.35">
      <c r="A93" s="9">
        <v>186</v>
      </c>
      <c r="B93" s="9" t="s">
        <v>139</v>
      </c>
      <c r="C93" s="9" t="s">
        <v>136</v>
      </c>
      <c r="D93" s="9" t="s">
        <v>142</v>
      </c>
      <c r="E93" s="9">
        <v>6</v>
      </c>
      <c r="F9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3" s="27"/>
      <c r="H93" s="27"/>
      <c r="I93" s="27"/>
      <c r="J93" s="27"/>
      <c r="K93" s="27"/>
      <c r="L93" s="27"/>
    </row>
    <row r="94" spans="1:12" hidden="1" x14ac:dyDescent="0.35">
      <c r="A94" s="9">
        <v>20514</v>
      </c>
      <c r="B94" s="9" t="s">
        <v>135</v>
      </c>
      <c r="C94" s="9" t="s">
        <v>136</v>
      </c>
      <c r="D94" s="9" t="s">
        <v>137</v>
      </c>
      <c r="E94" s="9">
        <v>6</v>
      </c>
      <c r="F9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4" s="27"/>
      <c r="H94" s="27"/>
      <c r="I94" s="27"/>
      <c r="J94" s="27"/>
      <c r="K94" s="27"/>
      <c r="L94" s="27"/>
    </row>
    <row r="95" spans="1:12" hidden="1" x14ac:dyDescent="0.35">
      <c r="A95" s="9">
        <v>20535</v>
      </c>
      <c r="B95" s="9" t="s">
        <v>139</v>
      </c>
      <c r="C95" s="9" t="s">
        <v>136</v>
      </c>
      <c r="D95" s="9" t="s">
        <v>145</v>
      </c>
      <c r="E95" s="9">
        <v>6</v>
      </c>
      <c r="F9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5" s="27"/>
      <c r="H95" s="27"/>
      <c r="I95" s="27"/>
      <c r="J95" s="27"/>
      <c r="K95" s="27"/>
      <c r="L95" s="27"/>
    </row>
    <row r="96" spans="1:12" hidden="1" x14ac:dyDescent="0.35">
      <c r="A96" s="9">
        <v>22147</v>
      </c>
      <c r="B96" s="9" t="s">
        <v>139</v>
      </c>
      <c r="C96" s="9" t="s">
        <v>136</v>
      </c>
      <c r="D96" s="9" t="s">
        <v>140</v>
      </c>
      <c r="E96" s="9">
        <v>6</v>
      </c>
      <c r="F9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6" s="27"/>
      <c r="H96" s="27"/>
      <c r="I96" s="27"/>
      <c r="J96" s="27"/>
      <c r="K96" s="27"/>
      <c r="L96" s="27"/>
    </row>
    <row r="97" spans="1:12" hidden="1" x14ac:dyDescent="0.35">
      <c r="A97" s="9">
        <v>37152</v>
      </c>
      <c r="B97" s="9" t="s">
        <v>139</v>
      </c>
      <c r="C97" s="9" t="s">
        <v>136</v>
      </c>
      <c r="D97" s="9" t="s">
        <v>143</v>
      </c>
      <c r="E97" s="9">
        <v>6</v>
      </c>
      <c r="F9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7" s="27"/>
      <c r="H97" s="27"/>
      <c r="I97" s="27"/>
      <c r="J97" s="27"/>
      <c r="K97" s="27"/>
      <c r="L97" s="27"/>
    </row>
    <row r="98" spans="1:12" hidden="1" x14ac:dyDescent="0.35">
      <c r="A98" s="9">
        <v>43699</v>
      </c>
      <c r="B98" s="9" t="s">
        <v>139</v>
      </c>
      <c r="C98" s="9" t="s">
        <v>136</v>
      </c>
      <c r="D98" s="9" t="s">
        <v>144</v>
      </c>
      <c r="E98" s="9">
        <v>6</v>
      </c>
      <c r="F9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8" s="27"/>
      <c r="H98" s="27"/>
      <c r="I98" s="27"/>
      <c r="J98" s="27"/>
      <c r="K98" s="27"/>
      <c r="L98" s="27"/>
    </row>
    <row r="99" spans="1:12" hidden="1" x14ac:dyDescent="0.35">
      <c r="A99" s="9">
        <v>46217</v>
      </c>
      <c r="B99" s="9" t="s">
        <v>147</v>
      </c>
      <c r="C99" s="9" t="s">
        <v>136</v>
      </c>
      <c r="D99" s="9" t="s">
        <v>154</v>
      </c>
      <c r="E99" s="9">
        <v>12</v>
      </c>
      <c r="F9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9" s="27"/>
      <c r="H99" s="27"/>
      <c r="I99" s="27"/>
      <c r="J99" s="27"/>
      <c r="K99" s="27"/>
      <c r="L99" s="27"/>
    </row>
    <row r="100" spans="1:12" hidden="1" x14ac:dyDescent="0.35">
      <c r="A100" s="9">
        <v>46889</v>
      </c>
      <c r="B100" s="9" t="s">
        <v>147</v>
      </c>
      <c r="C100" s="9" t="s">
        <v>136</v>
      </c>
      <c r="D100" s="9" t="s">
        <v>151</v>
      </c>
      <c r="E100" s="9">
        <v>6</v>
      </c>
      <c r="F10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0" s="27"/>
      <c r="H100" s="27"/>
      <c r="I100" s="27"/>
      <c r="J100" s="27"/>
      <c r="K100" s="27"/>
      <c r="L100" s="27"/>
    </row>
    <row r="101" spans="1:12" hidden="1" x14ac:dyDescent="0.35">
      <c r="A101" s="9">
        <v>50514</v>
      </c>
      <c r="B101" s="9" t="s">
        <v>147</v>
      </c>
      <c r="C101" s="9" t="s">
        <v>136</v>
      </c>
      <c r="D101" s="9" t="s">
        <v>150</v>
      </c>
      <c r="E101" s="9">
        <v>6</v>
      </c>
      <c r="F10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1" s="27"/>
      <c r="H101" s="27"/>
      <c r="I101" s="27"/>
      <c r="J101" s="27"/>
      <c r="K101" s="27"/>
      <c r="L101" s="27"/>
    </row>
    <row r="102" spans="1:12" hidden="1" x14ac:dyDescent="0.35">
      <c r="A102" s="9">
        <v>51561</v>
      </c>
      <c r="B102" s="9" t="s">
        <v>139</v>
      </c>
      <c r="C102" s="9" t="s">
        <v>136</v>
      </c>
      <c r="D102" s="9" t="s">
        <v>146</v>
      </c>
      <c r="E102" s="9">
        <v>12</v>
      </c>
      <c r="F10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2" s="27"/>
      <c r="H102" s="27"/>
      <c r="I102" s="27"/>
      <c r="J102" s="27"/>
      <c r="K102" s="27"/>
      <c r="L102" s="27"/>
    </row>
    <row r="103" spans="1:12" hidden="1" x14ac:dyDescent="0.35">
      <c r="A103" s="9">
        <v>54488</v>
      </c>
      <c r="B103" s="9" t="s">
        <v>147</v>
      </c>
      <c r="C103" s="9" t="s">
        <v>136</v>
      </c>
      <c r="D103" s="9" t="s">
        <v>152</v>
      </c>
      <c r="E103" s="9">
        <v>6</v>
      </c>
      <c r="F10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3" s="27"/>
      <c r="H103" s="27"/>
      <c r="I103" s="27"/>
      <c r="J103" s="27"/>
      <c r="K103" s="27"/>
      <c r="L103" s="27"/>
    </row>
    <row r="104" spans="1:12" hidden="1" x14ac:dyDescent="0.35">
      <c r="A104" s="9">
        <v>54489</v>
      </c>
      <c r="B104" s="9" t="s">
        <v>147</v>
      </c>
      <c r="C104" s="9" t="s">
        <v>136</v>
      </c>
      <c r="D104" s="9" t="s">
        <v>153</v>
      </c>
      <c r="E104" s="9">
        <v>6</v>
      </c>
      <c r="F10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4" s="27"/>
      <c r="H104" s="27"/>
      <c r="I104" s="27"/>
      <c r="J104" s="27"/>
      <c r="K104" s="27"/>
      <c r="L104" s="27"/>
    </row>
    <row r="105" spans="1:12" hidden="1" x14ac:dyDescent="0.35">
      <c r="A105" s="9">
        <v>58788</v>
      </c>
      <c r="B105" s="9" t="s">
        <v>139</v>
      </c>
      <c r="C105" s="9" t="s">
        <v>136</v>
      </c>
      <c r="D105" s="9" t="s">
        <v>141</v>
      </c>
      <c r="E105" s="9">
        <v>6</v>
      </c>
      <c r="F10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5" s="27"/>
      <c r="H105" s="27"/>
      <c r="I105" s="27"/>
      <c r="J105" s="27"/>
      <c r="K105" s="27"/>
      <c r="L105" s="27"/>
    </row>
    <row r="106" spans="1:12" hidden="1" x14ac:dyDescent="0.35">
      <c r="A106" s="9">
        <v>60404</v>
      </c>
      <c r="B106" s="9" t="s">
        <v>147</v>
      </c>
      <c r="C106" s="9" t="s">
        <v>136</v>
      </c>
      <c r="D106" s="9" t="s">
        <v>149</v>
      </c>
      <c r="E106" s="9">
        <v>6</v>
      </c>
      <c r="F10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6" s="27"/>
      <c r="H106" s="27"/>
      <c r="I106" s="27"/>
      <c r="J106" s="27"/>
      <c r="K106" s="27"/>
      <c r="L106" s="27"/>
    </row>
    <row r="107" spans="1:12" hidden="1" x14ac:dyDescent="0.35">
      <c r="A107" s="9">
        <v>63299</v>
      </c>
      <c r="B107" s="9" t="s">
        <v>147</v>
      </c>
      <c r="C107" s="9" t="s">
        <v>136</v>
      </c>
      <c r="D107" s="9" t="s">
        <v>148</v>
      </c>
      <c r="E107" s="9">
        <v>6</v>
      </c>
      <c r="F10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7" s="27"/>
      <c r="H107" s="27"/>
      <c r="I107" s="27"/>
      <c r="J107" s="27"/>
      <c r="K107" s="27"/>
      <c r="L107" s="27"/>
    </row>
    <row r="108" spans="1:12" hidden="1" x14ac:dyDescent="0.35">
      <c r="A108" s="9">
        <v>67317</v>
      </c>
      <c r="B108" s="9" t="s">
        <v>135</v>
      </c>
      <c r="C108" s="9" t="s">
        <v>136</v>
      </c>
      <c r="D108" s="9" t="s">
        <v>138</v>
      </c>
      <c r="E108" s="9">
        <v>6</v>
      </c>
      <c r="F10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9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7" s="27"/>
      <c r="H167" s="27"/>
      <c r="I167" s="27"/>
      <c r="J167" s="27"/>
      <c r="K167" s="27"/>
      <c r="L167" s="27"/>
    </row>
    <row r="168" spans="1:12" hidden="1" x14ac:dyDescent="0.35">
      <c r="A168" s="9">
        <v>7197</v>
      </c>
      <c r="B168" s="9" t="s">
        <v>250</v>
      </c>
      <c r="C168" s="9" t="s">
        <v>227</v>
      </c>
      <c r="D168" s="9" t="s">
        <v>257</v>
      </c>
      <c r="E168" s="9">
        <v>12</v>
      </c>
      <c r="F16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8" s="27"/>
      <c r="H168" s="27"/>
      <c r="I168" s="27"/>
      <c r="J168" s="27"/>
      <c r="K168" s="27"/>
      <c r="L168" s="27"/>
    </row>
    <row r="169" spans="1:12" hidden="1" x14ac:dyDescent="0.35">
      <c r="A169" s="9">
        <v>9350</v>
      </c>
      <c r="B169" s="9" t="s">
        <v>226</v>
      </c>
      <c r="C169" s="9" t="s">
        <v>227</v>
      </c>
      <c r="D169" s="9" t="s">
        <v>230</v>
      </c>
      <c r="E169" s="9">
        <v>12</v>
      </c>
      <c r="F16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9" s="27"/>
      <c r="H169" s="27"/>
      <c r="I169" s="27"/>
      <c r="J169" s="27"/>
      <c r="K169" s="27"/>
      <c r="L169" s="27"/>
    </row>
    <row r="170" spans="1:12" hidden="1" x14ac:dyDescent="0.35">
      <c r="A170" s="9">
        <v>20430</v>
      </c>
      <c r="B170" s="9" t="s">
        <v>237</v>
      </c>
      <c r="C170" s="9" t="s">
        <v>227</v>
      </c>
      <c r="D170" s="9" t="s">
        <v>238</v>
      </c>
      <c r="E170" s="9">
        <v>6</v>
      </c>
      <c r="F17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0" s="27"/>
      <c r="H170" s="27"/>
      <c r="I170" s="27"/>
      <c r="J170" s="27"/>
      <c r="K170" s="27"/>
      <c r="L170" s="27"/>
    </row>
    <row r="171" spans="1:12" hidden="1" x14ac:dyDescent="0.35">
      <c r="A171" s="9">
        <v>31617</v>
      </c>
      <c r="B171" s="9" t="s">
        <v>237</v>
      </c>
      <c r="C171" s="9" t="s">
        <v>227</v>
      </c>
      <c r="D171" s="9" t="s">
        <v>239</v>
      </c>
      <c r="E171" s="9">
        <v>6</v>
      </c>
      <c r="F17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1" s="27"/>
      <c r="H171" s="27"/>
      <c r="I171" s="27"/>
      <c r="J171" s="27"/>
      <c r="K171" s="27"/>
      <c r="L171" s="27"/>
    </row>
    <row r="172" spans="1:12" hidden="1" x14ac:dyDescent="0.35">
      <c r="A172" s="9">
        <v>35051</v>
      </c>
      <c r="B172" s="9" t="s">
        <v>226</v>
      </c>
      <c r="C172" s="9" t="s">
        <v>227</v>
      </c>
      <c r="D172" s="9" t="s">
        <v>234</v>
      </c>
      <c r="E172" s="9">
        <v>6</v>
      </c>
      <c r="F17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2" s="27"/>
      <c r="H172" s="27"/>
      <c r="I172" s="27"/>
      <c r="J172" s="27"/>
      <c r="K172" s="27"/>
      <c r="L172" s="27"/>
    </row>
    <row r="173" spans="1:12" hidden="1" x14ac:dyDescent="0.35">
      <c r="A173" s="9">
        <v>35260</v>
      </c>
      <c r="B173" s="9" t="s">
        <v>226</v>
      </c>
      <c r="C173" s="9" t="s">
        <v>227</v>
      </c>
      <c r="D173" s="9" t="s">
        <v>235</v>
      </c>
      <c r="E173" s="9">
        <v>6</v>
      </c>
      <c r="F17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3" s="27"/>
      <c r="H173" s="27"/>
      <c r="I173" s="27"/>
      <c r="J173" s="27"/>
      <c r="K173" s="27"/>
      <c r="L173" s="27"/>
    </row>
    <row r="174" spans="1:12" hidden="1" x14ac:dyDescent="0.35">
      <c r="A174" s="9">
        <v>36676</v>
      </c>
      <c r="B174" s="9" t="s">
        <v>250</v>
      </c>
      <c r="C174" s="9" t="s">
        <v>227</v>
      </c>
      <c r="D174" s="9" t="s">
        <v>256</v>
      </c>
      <c r="E174" s="9">
        <v>6</v>
      </c>
      <c r="F17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4" s="27"/>
      <c r="H174" s="27"/>
      <c r="I174" s="27"/>
      <c r="J174" s="27"/>
      <c r="K174" s="27"/>
      <c r="L174" s="27"/>
    </row>
    <row r="175" spans="1:12" hidden="1" x14ac:dyDescent="0.35">
      <c r="A175" s="9">
        <v>37125</v>
      </c>
      <c r="B175" s="9" t="s">
        <v>250</v>
      </c>
      <c r="C175" s="9" t="s">
        <v>227</v>
      </c>
      <c r="D175" s="9" t="s">
        <v>253</v>
      </c>
      <c r="E175" s="9">
        <v>6</v>
      </c>
      <c r="F17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5" s="27"/>
      <c r="H175" s="27"/>
      <c r="I175" s="27"/>
      <c r="J175" s="27"/>
      <c r="K175" s="27"/>
      <c r="L175" s="27"/>
    </row>
    <row r="176" spans="1:12" hidden="1" x14ac:dyDescent="0.35">
      <c r="A176" s="9">
        <v>37240</v>
      </c>
      <c r="B176" s="9" t="s">
        <v>250</v>
      </c>
      <c r="C176" s="9" t="s">
        <v>227</v>
      </c>
      <c r="D176" s="9" t="s">
        <v>252</v>
      </c>
      <c r="E176" s="9">
        <v>6</v>
      </c>
      <c r="F17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6" s="27"/>
      <c r="H176" s="27"/>
      <c r="I176" s="27"/>
      <c r="J176" s="27"/>
      <c r="K176" s="27"/>
      <c r="L176" s="27"/>
    </row>
    <row r="177" spans="1:12" hidden="1" x14ac:dyDescent="0.35">
      <c r="A177" s="9">
        <v>37396</v>
      </c>
      <c r="B177" s="9" t="s">
        <v>243</v>
      </c>
      <c r="C177" s="9" t="s">
        <v>227</v>
      </c>
      <c r="D177" s="9" t="s">
        <v>247</v>
      </c>
      <c r="E177" s="9">
        <v>6</v>
      </c>
      <c r="F17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7" s="27"/>
      <c r="H177" s="27"/>
      <c r="I177" s="27"/>
      <c r="J177" s="27"/>
      <c r="K177" s="27"/>
      <c r="L177" s="27"/>
    </row>
    <row r="178" spans="1:12" hidden="1" x14ac:dyDescent="0.35">
      <c r="A178" s="9">
        <v>37506</v>
      </c>
      <c r="B178" s="9" t="s">
        <v>250</v>
      </c>
      <c r="C178" s="9" t="s">
        <v>227</v>
      </c>
      <c r="D178" s="9" t="s">
        <v>254</v>
      </c>
      <c r="E178" s="9">
        <v>6</v>
      </c>
      <c r="F17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8" s="27"/>
      <c r="H178" s="27"/>
      <c r="I178" s="27"/>
      <c r="J178" s="27"/>
      <c r="K178" s="27"/>
      <c r="L178" s="27"/>
    </row>
    <row r="179" spans="1:12" hidden="1" x14ac:dyDescent="0.35">
      <c r="A179" s="9">
        <v>39973</v>
      </c>
      <c r="B179" s="9" t="s">
        <v>248</v>
      </c>
      <c r="C179" s="9" t="s">
        <v>227</v>
      </c>
      <c r="D179" s="9" t="s">
        <v>249</v>
      </c>
      <c r="E179" s="9">
        <v>6</v>
      </c>
      <c r="F17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9" s="27"/>
      <c r="H179" s="27"/>
      <c r="I179" s="27"/>
      <c r="J179" s="27"/>
      <c r="K179" s="27"/>
      <c r="L179" s="27"/>
    </row>
    <row r="180" spans="1:12" hidden="1" x14ac:dyDescent="0.35">
      <c r="A180" s="9">
        <v>40677</v>
      </c>
      <c r="B180" s="9" t="s">
        <v>243</v>
      </c>
      <c r="C180" s="9" t="s">
        <v>227</v>
      </c>
      <c r="D180" s="9" t="s">
        <v>245</v>
      </c>
      <c r="E180" s="9">
        <v>12</v>
      </c>
      <c r="F18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0" s="27"/>
      <c r="H180" s="27"/>
      <c r="I180" s="27"/>
      <c r="J180" s="27"/>
      <c r="K180" s="27"/>
      <c r="L180" s="27"/>
    </row>
    <row r="181" spans="1:12" hidden="1" x14ac:dyDescent="0.35">
      <c r="A181" s="9">
        <v>44485</v>
      </c>
      <c r="B181" s="9" t="s">
        <v>226</v>
      </c>
      <c r="C181" s="9" t="s">
        <v>227</v>
      </c>
      <c r="D181" s="9" t="s">
        <v>236</v>
      </c>
      <c r="E181" s="9">
        <v>6</v>
      </c>
      <c r="F18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1" s="27"/>
      <c r="H181" s="27"/>
      <c r="I181" s="27"/>
      <c r="J181" s="27"/>
      <c r="K181" s="27"/>
      <c r="L181" s="27"/>
    </row>
    <row r="182" spans="1:12" hidden="1" x14ac:dyDescent="0.35">
      <c r="A182" s="9">
        <v>47463</v>
      </c>
      <c r="B182" s="9" t="s">
        <v>243</v>
      </c>
      <c r="C182" s="9" t="s">
        <v>227</v>
      </c>
      <c r="D182" s="9" t="s">
        <v>244</v>
      </c>
      <c r="E182" s="9">
        <v>12</v>
      </c>
      <c r="F18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2" s="27"/>
      <c r="H182" s="27"/>
      <c r="I182" s="27"/>
      <c r="J182" s="27"/>
      <c r="K182" s="27"/>
      <c r="L182" s="27"/>
    </row>
    <row r="183" spans="1:12" hidden="1" x14ac:dyDescent="0.35">
      <c r="A183" s="9">
        <v>47464</v>
      </c>
      <c r="B183" s="9" t="s">
        <v>258</v>
      </c>
      <c r="C183" s="9" t="s">
        <v>227</v>
      </c>
      <c r="D183" s="9" t="s">
        <v>259</v>
      </c>
      <c r="E183" s="9">
        <v>12</v>
      </c>
      <c r="F18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3" s="27"/>
      <c r="H183" s="27"/>
      <c r="I183" s="27"/>
      <c r="J183" s="27"/>
      <c r="K183" s="27"/>
      <c r="L183" s="27"/>
    </row>
    <row r="184" spans="1:12" hidden="1" x14ac:dyDescent="0.35">
      <c r="A184" s="9">
        <v>47824</v>
      </c>
      <c r="B184" s="9" t="s">
        <v>250</v>
      </c>
      <c r="C184" s="9" t="s">
        <v>227</v>
      </c>
      <c r="D184" s="9" t="s">
        <v>255</v>
      </c>
      <c r="E184" s="9">
        <v>6</v>
      </c>
      <c r="F18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4" s="27"/>
      <c r="H184" s="27"/>
      <c r="I184" s="27"/>
      <c r="J184" s="27"/>
      <c r="K184" s="27"/>
      <c r="L184" s="27"/>
    </row>
    <row r="185" spans="1:12" hidden="1" x14ac:dyDescent="0.35">
      <c r="A185" s="9">
        <v>47825</v>
      </c>
      <c r="B185" s="9" t="s">
        <v>226</v>
      </c>
      <c r="C185" s="9" t="s">
        <v>227</v>
      </c>
      <c r="D185" s="9" t="s">
        <v>232</v>
      </c>
      <c r="E185" s="9">
        <v>6</v>
      </c>
      <c r="F18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5" s="27"/>
      <c r="H185" s="27"/>
      <c r="I185" s="27"/>
      <c r="J185" s="27"/>
      <c r="K185" s="27"/>
      <c r="L185" s="27"/>
    </row>
    <row r="186" spans="1:12" hidden="1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6" s="27"/>
      <c r="H186" s="27"/>
      <c r="I186" s="27"/>
      <c r="J186" s="27"/>
      <c r="K186" s="27"/>
      <c r="L186" s="27"/>
    </row>
    <row r="187" spans="1:12" hidden="1" x14ac:dyDescent="0.35">
      <c r="A187" s="9">
        <v>55602</v>
      </c>
      <c r="B187" s="9" t="s">
        <v>226</v>
      </c>
      <c r="C187" s="9" t="s">
        <v>227</v>
      </c>
      <c r="D187" s="9" t="s">
        <v>233</v>
      </c>
      <c r="E187" s="9">
        <v>6</v>
      </c>
      <c r="F18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7" s="27"/>
      <c r="H187" s="27"/>
      <c r="I187" s="27"/>
      <c r="J187" s="27"/>
      <c r="K187" s="27"/>
      <c r="L187" s="27"/>
    </row>
    <row r="188" spans="1:12" hidden="1" x14ac:dyDescent="0.35">
      <c r="A188" s="9">
        <v>56072</v>
      </c>
      <c r="B188" s="9" t="s">
        <v>226</v>
      </c>
      <c r="C188" s="9" t="s">
        <v>227</v>
      </c>
      <c r="D188" s="9" t="s">
        <v>229</v>
      </c>
      <c r="E188" s="9">
        <v>6</v>
      </c>
      <c r="F18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8" s="27"/>
      <c r="H188" s="27"/>
      <c r="I188" s="27"/>
      <c r="J188" s="27"/>
      <c r="K188" s="27"/>
      <c r="L188" s="27"/>
    </row>
    <row r="189" spans="1:12" hidden="1" x14ac:dyDescent="0.35">
      <c r="A189" s="9">
        <v>56324</v>
      </c>
      <c r="B189" s="9" t="s">
        <v>226</v>
      </c>
      <c r="C189" s="9" t="s">
        <v>227</v>
      </c>
      <c r="D189" s="9" t="s">
        <v>231</v>
      </c>
      <c r="E189" s="9">
        <v>6</v>
      </c>
      <c r="F18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9" s="27"/>
      <c r="H189" s="27"/>
      <c r="I189" s="27"/>
      <c r="J189" s="27"/>
      <c r="K189" s="27"/>
      <c r="L189" s="27"/>
    </row>
    <row r="190" spans="1:12" hidden="1" x14ac:dyDescent="0.35">
      <c r="A190" s="9">
        <v>57711</v>
      </c>
      <c r="B190" s="9" t="s">
        <v>240</v>
      </c>
      <c r="C190" s="9" t="s">
        <v>227</v>
      </c>
      <c r="D190" s="9" t="s">
        <v>242</v>
      </c>
      <c r="E190" s="9">
        <v>12</v>
      </c>
      <c r="F19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0" s="27"/>
      <c r="H190" s="27"/>
      <c r="I190" s="27"/>
      <c r="J190" s="27"/>
      <c r="K190" s="27"/>
      <c r="L190" s="27"/>
    </row>
    <row r="191" spans="1:12" hidden="1" x14ac:dyDescent="0.35">
      <c r="A191" s="9">
        <v>58603</v>
      </c>
      <c r="B191" s="9" t="s">
        <v>243</v>
      </c>
      <c r="C191" s="9" t="s">
        <v>227</v>
      </c>
      <c r="D191" s="9" t="s">
        <v>246</v>
      </c>
      <c r="E191" s="9">
        <v>6</v>
      </c>
      <c r="F19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1" s="27"/>
      <c r="H191" s="27"/>
      <c r="I191" s="27"/>
      <c r="J191" s="27"/>
      <c r="K191" s="27"/>
      <c r="L191" s="27"/>
    </row>
    <row r="192" spans="1:12" hidden="1" x14ac:dyDescent="0.35">
      <c r="A192" s="9">
        <v>64469</v>
      </c>
      <c r="B192" s="9" t="s">
        <v>226</v>
      </c>
      <c r="C192" s="9" t="s">
        <v>227</v>
      </c>
      <c r="D192" s="9" t="s">
        <v>228</v>
      </c>
      <c r="E192" s="9">
        <v>6</v>
      </c>
      <c r="F19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2" s="27"/>
      <c r="H192" s="27"/>
      <c r="I192" s="27"/>
      <c r="J192" s="27"/>
      <c r="K192" s="27"/>
      <c r="L192" s="27"/>
    </row>
    <row r="193" spans="1:12" hidden="1" x14ac:dyDescent="0.35">
      <c r="A193" s="9">
        <v>67291</v>
      </c>
      <c r="B193" s="9" t="s">
        <v>240</v>
      </c>
      <c r="C193" s="9" t="s">
        <v>227</v>
      </c>
      <c r="D193" s="9" t="s">
        <v>241</v>
      </c>
      <c r="E193" s="9">
        <v>6</v>
      </c>
      <c r="F19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63D3-6F53-4CE3-816D-14E6C4FFEB08}">
  <sheetPr codeName="Sheet11"/>
  <dimension ref="A1:L193"/>
  <sheetViews>
    <sheetView topLeftCell="C1" workbookViewId="0">
      <pane ySplit="17" topLeftCell="A18" activePane="bottomLeft" state="frozen"/>
      <selection activeCell="C1" sqref="C1"/>
      <selection pane="bottomLeft" activeCell="G18" sqref="G18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5">
      <c r="A2" s="9">
        <v>191</v>
      </c>
      <c r="B2" s="9" t="s">
        <v>33</v>
      </c>
      <c r="C2" s="9" t="s">
        <v>24</v>
      </c>
      <c r="D2" s="9" t="s">
        <v>35</v>
      </c>
      <c r="E2" s="9">
        <v>24</v>
      </c>
      <c r="F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5">
      <c r="A3" s="9">
        <v>383</v>
      </c>
      <c r="B3" s="9" t="s">
        <v>33</v>
      </c>
      <c r="C3" s="9" t="s">
        <v>24</v>
      </c>
      <c r="D3" s="9" t="s">
        <v>34</v>
      </c>
      <c r="E3" s="9">
        <v>24</v>
      </c>
      <c r="F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5">
      <c r="A4" s="9">
        <v>22465</v>
      </c>
      <c r="B4" s="9" t="s">
        <v>33</v>
      </c>
      <c r="C4" s="9" t="s">
        <v>24</v>
      </c>
      <c r="D4" s="9" t="s">
        <v>38</v>
      </c>
      <c r="E4" s="9">
        <v>24</v>
      </c>
      <c r="F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5">
      <c r="A5" s="9">
        <v>24115</v>
      </c>
      <c r="B5" s="9" t="s">
        <v>33</v>
      </c>
      <c r="C5" s="9" t="s">
        <v>24</v>
      </c>
      <c r="D5" s="9" t="s">
        <v>39</v>
      </c>
      <c r="E5" s="9">
        <v>24</v>
      </c>
      <c r="F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5">
      <c r="A6" s="9">
        <v>32471</v>
      </c>
      <c r="B6" s="9" t="s">
        <v>33</v>
      </c>
      <c r="C6" s="9" t="s">
        <v>24</v>
      </c>
      <c r="D6" s="9" t="s">
        <v>40</v>
      </c>
      <c r="E6" s="9">
        <v>24</v>
      </c>
      <c r="F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5">
      <c r="A7" s="9">
        <v>34663</v>
      </c>
      <c r="B7" s="9" t="s">
        <v>33</v>
      </c>
      <c r="C7" s="9" t="s">
        <v>24</v>
      </c>
      <c r="D7" s="9" t="s">
        <v>41</v>
      </c>
      <c r="E7" s="9">
        <v>24</v>
      </c>
      <c r="F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5">
      <c r="A8" s="9">
        <v>36728</v>
      </c>
      <c r="B8" s="9" t="s">
        <v>33</v>
      </c>
      <c r="C8" s="9" t="s">
        <v>24</v>
      </c>
      <c r="D8" s="9" t="s">
        <v>37</v>
      </c>
      <c r="E8" s="9">
        <v>24</v>
      </c>
      <c r="F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5">
      <c r="A9" s="9">
        <v>54419</v>
      </c>
      <c r="B9" s="9" t="s">
        <v>23</v>
      </c>
      <c r="C9" s="9" t="s">
        <v>24</v>
      </c>
      <c r="D9" s="9" t="s">
        <v>28</v>
      </c>
      <c r="E9" s="9">
        <v>24</v>
      </c>
      <c r="F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5">
      <c r="A10" s="9">
        <v>59237</v>
      </c>
      <c r="B10" s="9" t="s">
        <v>23</v>
      </c>
      <c r="C10" s="9" t="s">
        <v>24</v>
      </c>
      <c r="D10" s="9" t="s">
        <v>26</v>
      </c>
      <c r="E10" s="9">
        <v>24</v>
      </c>
      <c r="F1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5">
      <c r="A11" s="9">
        <v>60039</v>
      </c>
      <c r="B11" s="9" t="s">
        <v>23</v>
      </c>
      <c r="C11" s="9" t="s">
        <v>24</v>
      </c>
      <c r="D11" s="9" t="s">
        <v>29</v>
      </c>
      <c r="E11" s="9">
        <v>24</v>
      </c>
      <c r="F1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5">
      <c r="A12" s="9">
        <v>60612</v>
      </c>
      <c r="B12" s="9" t="s">
        <v>31</v>
      </c>
      <c r="C12" s="9" t="s">
        <v>24</v>
      </c>
      <c r="D12" s="9" t="s">
        <v>32</v>
      </c>
      <c r="E12" s="9">
        <v>24</v>
      </c>
      <c r="F1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5">
      <c r="A13" s="9">
        <v>64212</v>
      </c>
      <c r="B13" s="9" t="s">
        <v>23</v>
      </c>
      <c r="C13" s="9" t="s">
        <v>24</v>
      </c>
      <c r="D13" s="9" t="s">
        <v>27</v>
      </c>
      <c r="E13" s="9">
        <v>24</v>
      </c>
      <c r="F1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5">
      <c r="A14" s="9">
        <v>66549</v>
      </c>
      <c r="B14" s="9" t="s">
        <v>23</v>
      </c>
      <c r="C14" s="9" t="s">
        <v>24</v>
      </c>
      <c r="D14" s="9" t="s">
        <v>25</v>
      </c>
      <c r="E14" s="9">
        <v>24</v>
      </c>
      <c r="F1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5">
      <c r="A15" s="9">
        <v>67145</v>
      </c>
      <c r="B15" s="9" t="s">
        <v>42</v>
      </c>
      <c r="C15" s="9" t="s">
        <v>24</v>
      </c>
      <c r="D15" s="9" t="s">
        <v>43</v>
      </c>
      <c r="E15" s="9">
        <v>24</v>
      </c>
      <c r="F1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5">
      <c r="A16" s="9">
        <v>69689</v>
      </c>
      <c r="B16" s="9" t="s">
        <v>23</v>
      </c>
      <c r="C16" s="9" t="s">
        <v>24</v>
      </c>
      <c r="D16" s="9" t="s">
        <v>30</v>
      </c>
      <c r="E16" s="9">
        <v>24</v>
      </c>
      <c r="F1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5">
      <c r="A17" s="9">
        <v>116393</v>
      </c>
      <c r="B17" s="9" t="s">
        <v>33</v>
      </c>
      <c r="C17" s="9" t="s">
        <v>24</v>
      </c>
      <c r="D17" s="9" t="s">
        <v>36</v>
      </c>
      <c r="E17" s="9">
        <v>24</v>
      </c>
      <c r="F1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5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5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5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5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5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5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5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5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5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5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5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5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5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5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5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5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5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5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5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5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5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5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5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5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5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5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5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5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5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5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5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5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5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5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5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5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5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5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5">
      <c r="A63" s="9">
        <v>23103</v>
      </c>
      <c r="B63" s="9" t="s">
        <v>118</v>
      </c>
      <c r="C63" s="9" t="s">
        <v>100</v>
      </c>
      <c r="D63" s="9" t="s">
        <v>122</v>
      </c>
      <c r="E63" s="9">
        <v>12</v>
      </c>
      <c r="F6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5">
      <c r="A64" s="9">
        <v>30787</v>
      </c>
      <c r="B64" s="9" t="s">
        <v>111</v>
      </c>
      <c r="C64" s="9" t="s">
        <v>100</v>
      </c>
      <c r="D64" s="9" t="s">
        <v>113</v>
      </c>
      <c r="E64" s="9">
        <v>12</v>
      </c>
      <c r="F6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5">
      <c r="A65" s="9">
        <v>35199</v>
      </c>
      <c r="B65" s="9" t="s">
        <v>99</v>
      </c>
      <c r="C65" s="9" t="s">
        <v>100</v>
      </c>
      <c r="D65" s="9" t="s">
        <v>105</v>
      </c>
      <c r="E65" s="9">
        <v>12</v>
      </c>
      <c r="F6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5">
      <c r="A67" s="9">
        <v>35342</v>
      </c>
      <c r="B67" s="9" t="s">
        <v>99</v>
      </c>
      <c r="C67" s="9" t="s">
        <v>100</v>
      </c>
      <c r="D67" s="9" t="s">
        <v>109</v>
      </c>
      <c r="E67" s="9">
        <v>12</v>
      </c>
      <c r="F6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5">
      <c r="A68" s="9">
        <v>35541</v>
      </c>
      <c r="B68" s="9" t="s">
        <v>114</v>
      </c>
      <c r="C68" s="9" t="s">
        <v>100</v>
      </c>
      <c r="D68" s="9" t="s">
        <v>115</v>
      </c>
      <c r="E68" s="9">
        <v>6</v>
      </c>
      <c r="F6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5">
      <c r="A69" s="9">
        <v>36883</v>
      </c>
      <c r="B69" s="9" t="s">
        <v>118</v>
      </c>
      <c r="C69" s="9" t="s">
        <v>100</v>
      </c>
      <c r="D69" s="9" t="s">
        <v>120</v>
      </c>
      <c r="E69" s="9">
        <v>6</v>
      </c>
      <c r="F6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5">
      <c r="A70" s="9">
        <v>36935</v>
      </c>
      <c r="B70" s="9" t="s">
        <v>129</v>
      </c>
      <c r="C70" s="9" t="s">
        <v>100</v>
      </c>
      <c r="D70" s="9" t="s">
        <v>134</v>
      </c>
      <c r="E70" s="9">
        <v>12</v>
      </c>
      <c r="F7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5">
      <c r="A71" s="9">
        <v>37272</v>
      </c>
      <c r="B71" s="9" t="s">
        <v>99</v>
      </c>
      <c r="C71" s="9" t="s">
        <v>100</v>
      </c>
      <c r="D71" s="9" t="s">
        <v>108</v>
      </c>
      <c r="E71" s="9">
        <v>6</v>
      </c>
      <c r="F7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5">
      <c r="A72" s="9">
        <v>37350</v>
      </c>
      <c r="B72" s="9" t="s">
        <v>114</v>
      </c>
      <c r="C72" s="9" t="s">
        <v>100</v>
      </c>
      <c r="D72" s="9" t="s">
        <v>117</v>
      </c>
      <c r="E72" s="9">
        <v>6</v>
      </c>
      <c r="F7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5">
      <c r="A73" s="9">
        <v>42817</v>
      </c>
      <c r="B73" s="9" t="s">
        <v>99</v>
      </c>
      <c r="C73" s="9" t="s">
        <v>100</v>
      </c>
      <c r="D73" s="9" t="s">
        <v>107</v>
      </c>
      <c r="E73" s="9">
        <v>6</v>
      </c>
      <c r="F7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5">
      <c r="A74" s="9">
        <v>43634</v>
      </c>
      <c r="B74" s="9" t="s">
        <v>118</v>
      </c>
      <c r="C74" s="9" t="s">
        <v>100</v>
      </c>
      <c r="D74" s="9" t="s">
        <v>128</v>
      </c>
      <c r="E74" s="9">
        <v>12</v>
      </c>
      <c r="F7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5">
      <c r="A75" s="9">
        <v>51559</v>
      </c>
      <c r="B75" s="9" t="s">
        <v>118</v>
      </c>
      <c r="C75" s="9" t="s">
        <v>100</v>
      </c>
      <c r="D75" s="9" t="s">
        <v>119</v>
      </c>
      <c r="E75" s="9">
        <v>12</v>
      </c>
      <c r="F7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5">
      <c r="A76" s="9">
        <v>52415</v>
      </c>
      <c r="B76" s="9" t="s">
        <v>129</v>
      </c>
      <c r="C76" s="9" t="s">
        <v>100</v>
      </c>
      <c r="D76" s="9" t="s">
        <v>132</v>
      </c>
      <c r="E76" s="9">
        <v>12</v>
      </c>
      <c r="F7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5">
      <c r="A77" s="9">
        <v>53020</v>
      </c>
      <c r="B77" s="9" t="s">
        <v>129</v>
      </c>
      <c r="C77" s="9" t="s">
        <v>100</v>
      </c>
      <c r="D77" s="9" t="s">
        <v>133</v>
      </c>
      <c r="E77" s="9">
        <v>6</v>
      </c>
      <c r="F7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5">
      <c r="A78" s="9">
        <v>55272</v>
      </c>
      <c r="B78" s="9" t="s">
        <v>99</v>
      </c>
      <c r="C78" s="9" t="s">
        <v>100</v>
      </c>
      <c r="D78" s="9" t="s">
        <v>102</v>
      </c>
      <c r="E78" s="9">
        <v>6</v>
      </c>
      <c r="F7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5">
      <c r="A79" s="9">
        <v>55624</v>
      </c>
      <c r="B79" s="9" t="s">
        <v>99</v>
      </c>
      <c r="C79" s="9" t="s">
        <v>100</v>
      </c>
      <c r="D79" s="9" t="s">
        <v>110</v>
      </c>
      <c r="E79" s="9">
        <v>6</v>
      </c>
      <c r="F7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5">
      <c r="A80" s="9">
        <v>56067</v>
      </c>
      <c r="B80" s="9" t="s">
        <v>129</v>
      </c>
      <c r="C80" s="9" t="s">
        <v>100</v>
      </c>
      <c r="D80" s="9" t="s">
        <v>130</v>
      </c>
      <c r="E80" s="9">
        <v>6</v>
      </c>
      <c r="F8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5">
      <c r="A81" s="9">
        <v>56309</v>
      </c>
      <c r="B81" s="9" t="s">
        <v>118</v>
      </c>
      <c r="C81" s="9" t="s">
        <v>100</v>
      </c>
      <c r="D81" s="9" t="s">
        <v>126</v>
      </c>
      <c r="E81" s="9">
        <v>6</v>
      </c>
      <c r="F8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5">
      <c r="A82" s="9">
        <v>56662</v>
      </c>
      <c r="B82" s="9" t="s">
        <v>99</v>
      </c>
      <c r="C82" s="9" t="s">
        <v>100</v>
      </c>
      <c r="D82" s="9" t="s">
        <v>103</v>
      </c>
      <c r="E82" s="9">
        <v>12</v>
      </c>
      <c r="F8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5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5">
      <c r="A84" s="9">
        <v>58826</v>
      </c>
      <c r="B84" s="9" t="s">
        <v>111</v>
      </c>
      <c r="C84" s="9" t="s">
        <v>100</v>
      </c>
      <c r="D84" s="9" t="s">
        <v>112</v>
      </c>
      <c r="E84" s="9">
        <v>12</v>
      </c>
      <c r="F8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5">
      <c r="A85" s="9">
        <v>62944</v>
      </c>
      <c r="B85" s="9" t="s">
        <v>118</v>
      </c>
      <c r="C85" s="9" t="s">
        <v>100</v>
      </c>
      <c r="D85" s="9" t="s">
        <v>124</v>
      </c>
      <c r="E85" s="9">
        <v>6</v>
      </c>
      <c r="F8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5">
      <c r="A86" s="9">
        <v>63102</v>
      </c>
      <c r="B86" s="9" t="s">
        <v>118</v>
      </c>
      <c r="C86" s="9" t="s">
        <v>100</v>
      </c>
      <c r="D86" s="9" t="s">
        <v>121</v>
      </c>
      <c r="E86" s="9">
        <v>6</v>
      </c>
      <c r="F8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5">
      <c r="A87" s="9">
        <v>63301</v>
      </c>
      <c r="B87" s="9" t="s">
        <v>129</v>
      </c>
      <c r="C87" s="9" t="s">
        <v>100</v>
      </c>
      <c r="D87" s="9" t="s">
        <v>131</v>
      </c>
      <c r="E87" s="9">
        <v>6</v>
      </c>
      <c r="F8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5">
      <c r="A88" s="9">
        <v>64873</v>
      </c>
      <c r="B88" s="9" t="s">
        <v>114</v>
      </c>
      <c r="C88" s="9" t="s">
        <v>100</v>
      </c>
      <c r="D88" s="9" t="s">
        <v>116</v>
      </c>
      <c r="E88" s="9">
        <v>6</v>
      </c>
      <c r="F8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5">
      <c r="A89" s="9">
        <v>65226</v>
      </c>
      <c r="B89" s="9" t="s">
        <v>118</v>
      </c>
      <c r="C89" s="9" t="s">
        <v>100</v>
      </c>
      <c r="D89" s="9" t="s">
        <v>127</v>
      </c>
      <c r="E89" s="9">
        <v>6</v>
      </c>
      <c r="F8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5">
      <c r="A90" s="9">
        <v>67349</v>
      </c>
      <c r="B90" s="9" t="s">
        <v>118</v>
      </c>
      <c r="C90" s="9" t="s">
        <v>100</v>
      </c>
      <c r="D90" s="9" t="s">
        <v>125</v>
      </c>
      <c r="E90" s="9">
        <v>6</v>
      </c>
      <c r="F9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5">
      <c r="A91" s="9">
        <v>69117</v>
      </c>
      <c r="B91" s="9" t="s">
        <v>99</v>
      </c>
      <c r="C91" s="9" t="s">
        <v>100</v>
      </c>
      <c r="D91" s="9" t="s">
        <v>106</v>
      </c>
      <c r="E91" s="9">
        <v>6</v>
      </c>
      <c r="F9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5">
      <c r="A92" s="9">
        <v>69451</v>
      </c>
      <c r="B92" s="9" t="s">
        <v>99</v>
      </c>
      <c r="C92" s="9" t="s">
        <v>100</v>
      </c>
      <c r="D92" s="9" t="s">
        <v>101</v>
      </c>
      <c r="E92" s="9">
        <v>6</v>
      </c>
      <c r="F9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8" s="27"/>
      <c r="H108" s="27"/>
      <c r="I108" s="27"/>
      <c r="J108" s="27"/>
      <c r="K108" s="27"/>
      <c r="L108" s="27"/>
    </row>
    <row r="109" spans="1:12" hidden="1" x14ac:dyDescent="0.35">
      <c r="A109" s="9">
        <v>9</v>
      </c>
      <c r="B109" s="9" t="s">
        <v>166</v>
      </c>
      <c r="C109" s="9" t="s">
        <v>156</v>
      </c>
      <c r="D109" s="9" t="s">
        <v>167</v>
      </c>
      <c r="E109" s="9">
        <v>6</v>
      </c>
      <c r="F10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9" s="27"/>
      <c r="H109" s="27"/>
      <c r="I109" s="27"/>
      <c r="J109" s="27"/>
      <c r="K109" s="27"/>
      <c r="L109" s="27"/>
    </row>
    <row r="110" spans="1:12" hidden="1" x14ac:dyDescent="0.35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0" s="27"/>
      <c r="H110" s="27"/>
      <c r="I110" s="27"/>
      <c r="J110" s="27"/>
      <c r="K110" s="27"/>
      <c r="L110" s="27"/>
    </row>
    <row r="111" spans="1:12" hidden="1" x14ac:dyDescent="0.35">
      <c r="A111" s="9">
        <v>30</v>
      </c>
      <c r="B111" s="9" t="s">
        <v>171</v>
      </c>
      <c r="C111" s="9" t="s">
        <v>156</v>
      </c>
      <c r="D111" s="9" t="s">
        <v>176</v>
      </c>
      <c r="E111" s="9">
        <v>6</v>
      </c>
      <c r="F11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1" s="27"/>
      <c r="H111" s="27"/>
      <c r="I111" s="27"/>
      <c r="J111" s="27"/>
      <c r="K111" s="27"/>
      <c r="L111" s="27"/>
    </row>
    <row r="112" spans="1:12" hidden="1" x14ac:dyDescent="0.35">
      <c r="A112" s="9">
        <v>33</v>
      </c>
      <c r="B112" s="9" t="s">
        <v>215</v>
      </c>
      <c r="C112" s="9" t="s">
        <v>156</v>
      </c>
      <c r="D112" s="9" t="s">
        <v>223</v>
      </c>
      <c r="E112" s="9">
        <v>12</v>
      </c>
      <c r="F11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2" s="27"/>
      <c r="H112" s="27"/>
      <c r="I112" s="27"/>
      <c r="J112" s="27"/>
      <c r="K112" s="27"/>
      <c r="L112" s="27"/>
    </row>
    <row r="113" spans="1:12" hidden="1" x14ac:dyDescent="0.35">
      <c r="A113" s="9">
        <v>53</v>
      </c>
      <c r="B113" s="9" t="s">
        <v>166</v>
      </c>
      <c r="C113" s="9" t="s">
        <v>156</v>
      </c>
      <c r="D113" s="9" t="s">
        <v>169</v>
      </c>
      <c r="E113" s="9">
        <v>6</v>
      </c>
      <c r="F11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3" s="27"/>
      <c r="H113" s="27"/>
      <c r="I113" s="27"/>
      <c r="J113" s="27"/>
      <c r="K113" s="27"/>
      <c r="L113" s="27"/>
    </row>
    <row r="114" spans="1:12" hidden="1" x14ac:dyDescent="0.35">
      <c r="A114" s="9">
        <v>66</v>
      </c>
      <c r="B114" s="9" t="s">
        <v>178</v>
      </c>
      <c r="C114" s="9" t="s">
        <v>156</v>
      </c>
      <c r="D114" s="9" t="s">
        <v>187</v>
      </c>
      <c r="E114" s="9">
        <v>6</v>
      </c>
      <c r="F11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4" s="27"/>
      <c r="H114" s="27"/>
      <c r="I114" s="27"/>
      <c r="J114" s="27"/>
      <c r="K114" s="27"/>
      <c r="L114" s="27"/>
    </row>
    <row r="115" spans="1:12" hidden="1" x14ac:dyDescent="0.35">
      <c r="A115" s="9">
        <v>90</v>
      </c>
      <c r="B115" s="9" t="s">
        <v>155</v>
      </c>
      <c r="C115" s="9" t="s">
        <v>156</v>
      </c>
      <c r="D115" s="9" t="s">
        <v>157</v>
      </c>
      <c r="E115" s="9">
        <v>6</v>
      </c>
      <c r="F11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5" s="27"/>
      <c r="H115" s="27"/>
      <c r="I115" s="27"/>
      <c r="J115" s="27"/>
      <c r="K115" s="27"/>
      <c r="L115" s="27"/>
    </row>
    <row r="116" spans="1:12" hidden="1" x14ac:dyDescent="0.35">
      <c r="A116" s="9">
        <v>286</v>
      </c>
      <c r="B116" s="9" t="s">
        <v>178</v>
      </c>
      <c r="C116" s="9" t="s">
        <v>156</v>
      </c>
      <c r="D116" s="9" t="s">
        <v>188</v>
      </c>
      <c r="E116" s="9">
        <v>6</v>
      </c>
      <c r="F11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6" s="27"/>
      <c r="H116" s="27"/>
      <c r="I116" s="27"/>
      <c r="J116" s="27"/>
      <c r="K116" s="27"/>
      <c r="L116" s="27"/>
    </row>
    <row r="117" spans="1:12" hidden="1" x14ac:dyDescent="0.3">
      <c r="A117" s="9">
        <v>399</v>
      </c>
      <c r="B117" s="9" t="s">
        <v>198</v>
      </c>
      <c r="C117" s="9" t="s">
        <v>156</v>
      </c>
      <c r="D117" s="9" t="s">
        <v>202</v>
      </c>
      <c r="E117" s="9">
        <v>6</v>
      </c>
      <c r="F117" s="29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7" s="27"/>
      <c r="H117" s="27"/>
      <c r="I117" s="27"/>
      <c r="J117" s="27"/>
      <c r="K117" s="27"/>
      <c r="L117" s="27"/>
    </row>
    <row r="118" spans="1:12" hidden="1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8" s="27"/>
      <c r="H118" s="27"/>
      <c r="I118" s="27"/>
      <c r="J118" s="27"/>
      <c r="K118" s="27"/>
      <c r="L118" s="27"/>
    </row>
    <row r="119" spans="1:12" hidden="1" x14ac:dyDescent="0.35">
      <c r="A119" s="9">
        <v>474</v>
      </c>
      <c r="B119" s="9" t="s">
        <v>166</v>
      </c>
      <c r="C119" s="9" t="s">
        <v>156</v>
      </c>
      <c r="D119" s="9" t="s">
        <v>170</v>
      </c>
      <c r="E119" s="9">
        <v>6</v>
      </c>
      <c r="F11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9" s="27"/>
      <c r="H119" s="27"/>
      <c r="I119" s="27"/>
      <c r="J119" s="27"/>
      <c r="K119" s="27"/>
      <c r="L119" s="27"/>
    </row>
    <row r="120" spans="1:12" hidden="1" x14ac:dyDescent="0.35">
      <c r="A120" s="9">
        <v>503</v>
      </c>
      <c r="B120" s="9" t="s">
        <v>178</v>
      </c>
      <c r="C120" s="9" t="s">
        <v>156</v>
      </c>
      <c r="D120" s="9" t="s">
        <v>192</v>
      </c>
      <c r="E120" s="9">
        <v>6</v>
      </c>
      <c r="F12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0" s="27"/>
      <c r="H120" s="27"/>
      <c r="I120" s="27"/>
      <c r="J120" s="27"/>
      <c r="K120" s="27"/>
      <c r="L120" s="27"/>
    </row>
    <row r="121" spans="1:12" hidden="1" x14ac:dyDescent="0.35">
      <c r="A121" s="9">
        <v>13235</v>
      </c>
      <c r="B121" s="9" t="s">
        <v>158</v>
      </c>
      <c r="C121" s="9" t="s">
        <v>156</v>
      </c>
      <c r="D121" s="9" t="s">
        <v>161</v>
      </c>
      <c r="E121" s="9">
        <v>6</v>
      </c>
      <c r="F12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1" s="27"/>
      <c r="H121" s="27"/>
      <c r="I121" s="27"/>
      <c r="J121" s="27"/>
      <c r="K121" s="27"/>
      <c r="L121" s="27"/>
    </row>
    <row r="122" spans="1:12" hidden="1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2" s="27"/>
      <c r="H122" s="27"/>
      <c r="I122" s="27"/>
      <c r="J122" s="27"/>
      <c r="K122" s="27"/>
      <c r="L122" s="27"/>
    </row>
    <row r="123" spans="1:12" hidden="1" x14ac:dyDescent="0.35">
      <c r="A123" s="9">
        <v>13268</v>
      </c>
      <c r="B123" s="9" t="s">
        <v>215</v>
      </c>
      <c r="C123" s="9" t="s">
        <v>156</v>
      </c>
      <c r="D123" s="9" t="s">
        <v>225</v>
      </c>
      <c r="E123" s="9">
        <v>6</v>
      </c>
      <c r="F12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3" s="27"/>
      <c r="H123" s="27"/>
      <c r="I123" s="27"/>
      <c r="J123" s="27"/>
      <c r="K123" s="27"/>
      <c r="L123" s="27"/>
    </row>
    <row r="124" spans="1:12" hidden="1" x14ac:dyDescent="0.35">
      <c r="A124" s="9">
        <v>15866</v>
      </c>
      <c r="B124" s="9" t="s">
        <v>215</v>
      </c>
      <c r="C124" s="9" t="s">
        <v>156</v>
      </c>
      <c r="D124" s="9" t="s">
        <v>220</v>
      </c>
      <c r="E124" s="9">
        <v>6</v>
      </c>
      <c r="F12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4" s="27"/>
      <c r="H124" s="27"/>
      <c r="I124" s="27"/>
      <c r="J124" s="27"/>
      <c r="K124" s="27"/>
      <c r="L124" s="27"/>
    </row>
    <row r="125" spans="1:12" hidden="1" x14ac:dyDescent="0.35">
      <c r="A125" s="9">
        <v>15979</v>
      </c>
      <c r="B125" s="9" t="s">
        <v>178</v>
      </c>
      <c r="C125" s="9" t="s">
        <v>156</v>
      </c>
      <c r="D125" s="9" t="s">
        <v>184</v>
      </c>
      <c r="E125" s="9">
        <v>6</v>
      </c>
      <c r="F12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5" s="27"/>
      <c r="H125" s="27"/>
      <c r="I125" s="27"/>
      <c r="J125" s="27"/>
      <c r="K125" s="27"/>
      <c r="L125" s="27"/>
    </row>
    <row r="126" spans="1:12" hidden="1" x14ac:dyDescent="0.35">
      <c r="A126" s="9">
        <v>16264</v>
      </c>
      <c r="B126" s="9" t="s">
        <v>158</v>
      </c>
      <c r="C126" s="9" t="s">
        <v>156</v>
      </c>
      <c r="D126" s="9" t="s">
        <v>162</v>
      </c>
      <c r="E126" s="9">
        <v>6</v>
      </c>
      <c r="F12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6" s="27"/>
      <c r="H126" s="27"/>
      <c r="I126" s="27"/>
      <c r="J126" s="27"/>
      <c r="K126" s="27"/>
      <c r="L126" s="27"/>
    </row>
    <row r="127" spans="1:12" hidden="1" x14ac:dyDescent="0.35">
      <c r="A127" s="9">
        <v>16270</v>
      </c>
      <c r="B127" s="9" t="s">
        <v>198</v>
      </c>
      <c r="C127" s="9" t="s">
        <v>156</v>
      </c>
      <c r="D127" s="9" t="s">
        <v>201</v>
      </c>
      <c r="E127" s="9">
        <v>12</v>
      </c>
      <c r="F12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7" s="27"/>
      <c r="H127" s="27"/>
      <c r="I127" s="27"/>
      <c r="J127" s="27"/>
      <c r="K127" s="27"/>
      <c r="L127" s="27"/>
    </row>
    <row r="128" spans="1:12" hidden="1" x14ac:dyDescent="0.35">
      <c r="A128" s="9">
        <v>16960</v>
      </c>
      <c r="B128" s="9" t="s">
        <v>215</v>
      </c>
      <c r="C128" s="9" t="s">
        <v>156</v>
      </c>
      <c r="D128" s="9" t="s">
        <v>217</v>
      </c>
      <c r="E128" s="9">
        <v>6</v>
      </c>
      <c r="F12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8" s="27"/>
      <c r="H128" s="27"/>
      <c r="I128" s="27"/>
      <c r="J128" s="27"/>
      <c r="K128" s="27"/>
      <c r="L128" s="27"/>
    </row>
    <row r="129" spans="1:12" hidden="1" x14ac:dyDescent="0.35">
      <c r="A129" s="9">
        <v>17740</v>
      </c>
      <c r="B129" s="9" t="s">
        <v>215</v>
      </c>
      <c r="C129" s="9" t="s">
        <v>156</v>
      </c>
      <c r="D129" s="9" t="s">
        <v>222</v>
      </c>
      <c r="E129" s="9">
        <v>6</v>
      </c>
      <c r="F12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9" s="27"/>
      <c r="H129" s="27"/>
      <c r="I129" s="27"/>
      <c r="J129" s="27"/>
      <c r="K129" s="27"/>
      <c r="L129" s="27"/>
    </row>
    <row r="130" spans="1:12" hidden="1" x14ac:dyDescent="0.35">
      <c r="A130" s="9">
        <v>17906</v>
      </c>
      <c r="B130" s="9" t="s">
        <v>178</v>
      </c>
      <c r="C130" s="9" t="s">
        <v>156</v>
      </c>
      <c r="D130" s="9" t="s">
        <v>180</v>
      </c>
      <c r="E130" s="9">
        <v>6</v>
      </c>
      <c r="F13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0" s="27"/>
      <c r="H130" s="27"/>
      <c r="I130" s="27"/>
      <c r="J130" s="27"/>
      <c r="K130" s="27"/>
      <c r="L130" s="27"/>
    </row>
    <row r="131" spans="1:12" hidden="1" x14ac:dyDescent="0.35">
      <c r="A131" s="9">
        <v>18100</v>
      </c>
      <c r="B131" s="9" t="s">
        <v>178</v>
      </c>
      <c r="C131" s="9" t="s">
        <v>156</v>
      </c>
      <c r="D131" s="9" t="s">
        <v>190</v>
      </c>
      <c r="E131" s="9">
        <v>6</v>
      </c>
      <c r="F13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1" s="27"/>
      <c r="H131" s="27"/>
      <c r="I131" s="27"/>
      <c r="J131" s="27"/>
      <c r="K131" s="27"/>
      <c r="L131" s="27"/>
    </row>
    <row r="132" spans="1:12" hidden="1" x14ac:dyDescent="0.35">
      <c r="A132" s="9">
        <v>18101</v>
      </c>
      <c r="B132" s="9" t="s">
        <v>198</v>
      </c>
      <c r="C132" s="9" t="s">
        <v>156</v>
      </c>
      <c r="D132" s="9" t="s">
        <v>200</v>
      </c>
      <c r="E132" s="9">
        <v>6</v>
      </c>
      <c r="F13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2" s="27"/>
      <c r="H132" s="27"/>
      <c r="I132" s="27"/>
      <c r="J132" s="27"/>
      <c r="K132" s="27"/>
      <c r="L132" s="27"/>
    </row>
    <row r="133" spans="1:12" hidden="1" x14ac:dyDescent="0.35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3" s="27"/>
      <c r="H133" s="27"/>
      <c r="I133" s="27"/>
      <c r="J133" s="27"/>
      <c r="K133" s="27"/>
      <c r="L133" s="27"/>
    </row>
    <row r="134" spans="1:12" hidden="1" x14ac:dyDescent="0.35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4" s="27"/>
      <c r="H134" s="27"/>
      <c r="I134" s="27"/>
      <c r="J134" s="27"/>
      <c r="K134" s="27"/>
      <c r="L134" s="27"/>
    </row>
    <row r="135" spans="1:12" hidden="1" x14ac:dyDescent="0.35">
      <c r="A135" s="9">
        <v>22426</v>
      </c>
      <c r="B135" s="9" t="s">
        <v>196</v>
      </c>
      <c r="C135" s="9" t="s">
        <v>156</v>
      </c>
      <c r="D135" s="9" t="s">
        <v>197</v>
      </c>
      <c r="E135" s="9">
        <v>6</v>
      </c>
      <c r="F13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5" s="27"/>
      <c r="H135" s="27"/>
      <c r="I135" s="27"/>
      <c r="J135" s="27"/>
      <c r="K135" s="27"/>
      <c r="L135" s="27"/>
    </row>
    <row r="136" spans="1:12" hidden="1" x14ac:dyDescent="0.35">
      <c r="A136" s="9">
        <v>22627</v>
      </c>
      <c r="B136" s="9" t="s">
        <v>215</v>
      </c>
      <c r="C136" s="9" t="s">
        <v>156</v>
      </c>
      <c r="D136" s="9" t="s">
        <v>218</v>
      </c>
      <c r="E136" s="9">
        <v>6</v>
      </c>
      <c r="F13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6" s="27"/>
      <c r="H136" s="27"/>
      <c r="I136" s="27"/>
      <c r="J136" s="27"/>
      <c r="K136" s="27"/>
      <c r="L136" s="27"/>
    </row>
    <row r="137" spans="1:12" hidden="1" x14ac:dyDescent="0.35">
      <c r="A137" s="9">
        <v>22780</v>
      </c>
      <c r="B137" s="9" t="s">
        <v>194</v>
      </c>
      <c r="C137" s="9" t="s">
        <v>156</v>
      </c>
      <c r="D137" s="9" t="s">
        <v>195</v>
      </c>
      <c r="E137" s="9">
        <v>6</v>
      </c>
      <c r="F13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7" s="27"/>
      <c r="H137" s="27"/>
      <c r="I137" s="27"/>
      <c r="J137" s="27"/>
      <c r="K137" s="27"/>
      <c r="L137" s="27"/>
    </row>
    <row r="138" spans="1:12" hidden="1" x14ac:dyDescent="0.35">
      <c r="A138" s="9">
        <v>22901</v>
      </c>
      <c r="B138" s="9" t="s">
        <v>210</v>
      </c>
      <c r="C138" s="9" t="s">
        <v>156</v>
      </c>
      <c r="D138" s="9" t="s">
        <v>212</v>
      </c>
      <c r="E138" s="9">
        <v>6</v>
      </c>
      <c r="F13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8" s="27"/>
      <c r="H138" s="27"/>
      <c r="I138" s="27"/>
      <c r="J138" s="27"/>
      <c r="K138" s="27"/>
      <c r="L138" s="27"/>
    </row>
    <row r="139" spans="1:12" hidden="1" x14ac:dyDescent="0.35">
      <c r="A139" s="9">
        <v>32094</v>
      </c>
      <c r="B139" s="9" t="s">
        <v>210</v>
      </c>
      <c r="C139" s="9" t="s">
        <v>156</v>
      </c>
      <c r="D139" s="9" t="s">
        <v>211</v>
      </c>
      <c r="E139" s="9">
        <v>6</v>
      </c>
      <c r="F13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9" s="27"/>
      <c r="H139" s="27"/>
      <c r="I139" s="27"/>
      <c r="J139" s="27"/>
      <c r="K139" s="27"/>
      <c r="L139" s="27"/>
    </row>
    <row r="140" spans="1:12" hidden="1" x14ac:dyDescent="0.35">
      <c r="A140" s="9">
        <v>32398</v>
      </c>
      <c r="B140" s="9" t="s">
        <v>205</v>
      </c>
      <c r="C140" s="9" t="s">
        <v>156</v>
      </c>
      <c r="D140" s="9" t="s">
        <v>209</v>
      </c>
      <c r="E140" s="9">
        <v>12</v>
      </c>
      <c r="F14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0" s="27"/>
      <c r="H140" s="27"/>
      <c r="I140" s="27"/>
      <c r="J140" s="27"/>
      <c r="K140" s="27"/>
      <c r="L140" s="27"/>
    </row>
    <row r="141" spans="1:12" hidden="1" x14ac:dyDescent="0.35">
      <c r="A141" s="9">
        <v>32450</v>
      </c>
      <c r="B141" s="9" t="s">
        <v>215</v>
      </c>
      <c r="C141" s="9" t="s">
        <v>156</v>
      </c>
      <c r="D141" s="9" t="s">
        <v>221</v>
      </c>
      <c r="E141" s="9">
        <v>6</v>
      </c>
      <c r="F14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1" s="27"/>
      <c r="H141" s="27"/>
      <c r="I141" s="27"/>
      <c r="J141" s="27"/>
      <c r="K141" s="27"/>
      <c r="L141" s="27"/>
    </row>
    <row r="142" spans="1:12" hidden="1" x14ac:dyDescent="0.35">
      <c r="A142" s="9">
        <v>32483</v>
      </c>
      <c r="B142" s="9" t="s">
        <v>178</v>
      </c>
      <c r="C142" s="9" t="s">
        <v>156</v>
      </c>
      <c r="D142" s="9" t="s">
        <v>179</v>
      </c>
      <c r="E142" s="9">
        <v>6</v>
      </c>
      <c r="F14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2" s="27"/>
      <c r="H142" s="27"/>
      <c r="I142" s="27"/>
      <c r="J142" s="27"/>
      <c r="K142" s="27"/>
      <c r="L142" s="27"/>
    </row>
    <row r="143" spans="1:12" hidden="1" x14ac:dyDescent="0.35">
      <c r="A143" s="9">
        <v>33353</v>
      </c>
      <c r="B143" s="9" t="s">
        <v>198</v>
      </c>
      <c r="C143" s="9" t="s">
        <v>156</v>
      </c>
      <c r="D143" s="9" t="s">
        <v>199</v>
      </c>
      <c r="E143" s="9">
        <v>6</v>
      </c>
      <c r="F14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3" s="27"/>
      <c r="H143" s="27"/>
      <c r="I143" s="27"/>
      <c r="J143" s="27"/>
      <c r="K143" s="27"/>
      <c r="L143" s="27"/>
    </row>
    <row r="144" spans="1:12" hidden="1" x14ac:dyDescent="0.35">
      <c r="A144" s="9">
        <v>33975</v>
      </c>
      <c r="B144" s="9" t="s">
        <v>158</v>
      </c>
      <c r="C144" s="9" t="s">
        <v>156</v>
      </c>
      <c r="D144" s="9" t="s">
        <v>164</v>
      </c>
      <c r="E144" s="9">
        <v>6</v>
      </c>
      <c r="F14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4" s="27"/>
      <c r="H144" s="27"/>
      <c r="I144" s="27"/>
      <c r="J144" s="27"/>
      <c r="K144" s="27"/>
      <c r="L144" s="27"/>
    </row>
    <row r="145" spans="1:12" hidden="1" x14ac:dyDescent="0.35">
      <c r="A145" s="9">
        <v>34091</v>
      </c>
      <c r="B145" s="9" t="s">
        <v>178</v>
      </c>
      <c r="C145" s="9" t="s">
        <v>156</v>
      </c>
      <c r="D145" s="9" t="s">
        <v>182</v>
      </c>
      <c r="E145" s="9">
        <v>6</v>
      </c>
      <c r="F14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5" s="27"/>
      <c r="H145" s="27"/>
      <c r="I145" s="27"/>
      <c r="J145" s="27"/>
      <c r="K145" s="27"/>
      <c r="L145" s="27"/>
    </row>
    <row r="146" spans="1:12" hidden="1" x14ac:dyDescent="0.35">
      <c r="A146" s="9">
        <v>34680</v>
      </c>
      <c r="B146" s="9" t="s">
        <v>171</v>
      </c>
      <c r="C146" s="9" t="s">
        <v>156</v>
      </c>
      <c r="D146" s="9" t="s">
        <v>174</v>
      </c>
      <c r="E146" s="9">
        <v>6</v>
      </c>
      <c r="F14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6" s="27"/>
      <c r="H146" s="27"/>
      <c r="I146" s="27"/>
      <c r="J146" s="27"/>
      <c r="K146" s="27"/>
      <c r="L146" s="27"/>
    </row>
    <row r="147" spans="1:12" hidden="1" x14ac:dyDescent="0.35">
      <c r="A147" s="9">
        <v>35071</v>
      </c>
      <c r="B147" s="9" t="s">
        <v>205</v>
      </c>
      <c r="C147" s="9" t="s">
        <v>156</v>
      </c>
      <c r="D147" s="9" t="s">
        <v>206</v>
      </c>
      <c r="E147" s="9">
        <v>6</v>
      </c>
      <c r="F14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7" s="27"/>
      <c r="H147" s="27"/>
      <c r="I147" s="27"/>
      <c r="J147" s="27"/>
      <c r="K147" s="27"/>
      <c r="L147" s="27"/>
    </row>
    <row r="148" spans="1:12" hidden="1" x14ac:dyDescent="0.35">
      <c r="A148" s="9">
        <v>37124</v>
      </c>
      <c r="B148" s="9" t="s">
        <v>171</v>
      </c>
      <c r="C148" s="9" t="s">
        <v>156</v>
      </c>
      <c r="D148" s="9" t="s">
        <v>172</v>
      </c>
      <c r="E148" s="9">
        <v>6</v>
      </c>
      <c r="F14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8" s="27"/>
      <c r="H148" s="27"/>
      <c r="I148" s="27"/>
      <c r="J148" s="27"/>
      <c r="K148" s="27"/>
      <c r="L148" s="27"/>
    </row>
    <row r="149" spans="1:12" hidden="1" x14ac:dyDescent="0.35">
      <c r="A149" s="9">
        <v>38167</v>
      </c>
      <c r="B149" s="9" t="s">
        <v>198</v>
      </c>
      <c r="C149" s="9" t="s">
        <v>156</v>
      </c>
      <c r="D149" s="9" t="s">
        <v>203</v>
      </c>
      <c r="E149" s="9">
        <v>6</v>
      </c>
      <c r="F14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9" s="27"/>
      <c r="H149" s="27"/>
      <c r="I149" s="27"/>
      <c r="J149" s="27"/>
      <c r="K149" s="27"/>
      <c r="L149" s="27"/>
    </row>
    <row r="150" spans="1:12" hidden="1" x14ac:dyDescent="0.35">
      <c r="A150" s="9">
        <v>39034</v>
      </c>
      <c r="B150" s="9" t="s">
        <v>210</v>
      </c>
      <c r="C150" s="9" t="s">
        <v>156</v>
      </c>
      <c r="D150" s="9" t="s">
        <v>214</v>
      </c>
      <c r="E150" s="9">
        <v>6</v>
      </c>
      <c r="F15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0" s="27"/>
      <c r="H150" s="27"/>
      <c r="I150" s="27"/>
      <c r="J150" s="27"/>
      <c r="K150" s="27"/>
      <c r="L150" s="27"/>
    </row>
    <row r="151" spans="1:12" hidden="1" x14ac:dyDescent="0.35">
      <c r="A151" s="9">
        <v>39143</v>
      </c>
      <c r="B151" s="9" t="s">
        <v>178</v>
      </c>
      <c r="C151" s="9" t="s">
        <v>156</v>
      </c>
      <c r="D151" s="9" t="s">
        <v>186</v>
      </c>
      <c r="E151" s="9">
        <v>6</v>
      </c>
      <c r="F15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1" s="27"/>
      <c r="H151" s="27"/>
      <c r="I151" s="27"/>
      <c r="J151" s="27"/>
      <c r="K151" s="27"/>
      <c r="L151" s="27"/>
    </row>
    <row r="152" spans="1:12" hidden="1" x14ac:dyDescent="0.35">
      <c r="A152" s="9">
        <v>40369</v>
      </c>
      <c r="B152" s="9" t="s">
        <v>215</v>
      </c>
      <c r="C152" s="9" t="s">
        <v>156</v>
      </c>
      <c r="D152" s="9" t="s">
        <v>224</v>
      </c>
      <c r="E152" s="9">
        <v>6</v>
      </c>
      <c r="F15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2" s="27"/>
      <c r="H152" s="27"/>
      <c r="I152" s="27"/>
      <c r="J152" s="27"/>
      <c r="K152" s="27"/>
      <c r="L152" s="27"/>
    </row>
    <row r="153" spans="1:12" hidden="1" x14ac:dyDescent="0.35">
      <c r="A153" s="9">
        <v>41789</v>
      </c>
      <c r="B153" s="9" t="s">
        <v>205</v>
      </c>
      <c r="C153" s="9" t="s">
        <v>156</v>
      </c>
      <c r="D153" s="9" t="s">
        <v>208</v>
      </c>
      <c r="E153" s="9">
        <v>6</v>
      </c>
      <c r="F15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3" s="27"/>
      <c r="H153" s="27"/>
      <c r="I153" s="27"/>
      <c r="J153" s="27"/>
      <c r="K153" s="27"/>
      <c r="L153" s="27"/>
    </row>
    <row r="154" spans="1:12" hidden="1" x14ac:dyDescent="0.35">
      <c r="A154" s="9">
        <v>42446</v>
      </c>
      <c r="B154" s="9" t="s">
        <v>158</v>
      </c>
      <c r="C154" s="9" t="s">
        <v>156</v>
      </c>
      <c r="D154" s="9" t="s">
        <v>165</v>
      </c>
      <c r="E154" s="9">
        <v>6</v>
      </c>
      <c r="F15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4" s="27"/>
      <c r="H154" s="27"/>
      <c r="I154" s="27"/>
      <c r="J154" s="27"/>
      <c r="K154" s="27"/>
      <c r="L154" s="27"/>
    </row>
    <row r="155" spans="1:12" hidden="1" x14ac:dyDescent="0.35">
      <c r="A155" s="9">
        <v>43490</v>
      </c>
      <c r="B155" s="9" t="s">
        <v>178</v>
      </c>
      <c r="C155" s="9" t="s">
        <v>156</v>
      </c>
      <c r="D155" s="9" t="s">
        <v>189</v>
      </c>
      <c r="E155" s="9">
        <v>6</v>
      </c>
      <c r="F15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5" s="27"/>
      <c r="H155" s="27"/>
      <c r="I155" s="27"/>
      <c r="J155" s="27"/>
      <c r="K155" s="27"/>
      <c r="L155" s="27"/>
    </row>
    <row r="156" spans="1:12" hidden="1" x14ac:dyDescent="0.35">
      <c r="A156" s="9">
        <v>45247</v>
      </c>
      <c r="B156" s="9" t="s">
        <v>158</v>
      </c>
      <c r="C156" s="9" t="s">
        <v>156</v>
      </c>
      <c r="D156" s="9" t="s">
        <v>159</v>
      </c>
      <c r="E156" s="9">
        <v>6</v>
      </c>
      <c r="F15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6" s="27"/>
      <c r="H156" s="27"/>
      <c r="I156" s="27"/>
      <c r="J156" s="27"/>
      <c r="K156" s="27"/>
      <c r="L156" s="27"/>
    </row>
    <row r="157" spans="1:12" hidden="1" x14ac:dyDescent="0.35">
      <c r="A157" s="9">
        <v>45248</v>
      </c>
      <c r="B157" s="9" t="s">
        <v>158</v>
      </c>
      <c r="C157" s="9" t="s">
        <v>156</v>
      </c>
      <c r="D157" s="9" t="s">
        <v>163</v>
      </c>
      <c r="E157" s="9">
        <v>6</v>
      </c>
      <c r="F15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7" s="27"/>
      <c r="H157" s="27"/>
      <c r="I157" s="27"/>
      <c r="J157" s="27"/>
      <c r="K157" s="27"/>
      <c r="L157" s="27"/>
    </row>
    <row r="158" spans="1:12" hidden="1" x14ac:dyDescent="0.35">
      <c r="A158" s="9">
        <v>46286</v>
      </c>
      <c r="B158" s="9" t="s">
        <v>198</v>
      </c>
      <c r="C158" s="9" t="s">
        <v>156</v>
      </c>
      <c r="D158" s="9" t="s">
        <v>204</v>
      </c>
      <c r="E158" s="9">
        <v>6</v>
      </c>
      <c r="F15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8" s="27"/>
      <c r="H158" s="27"/>
      <c r="I158" s="27"/>
      <c r="J158" s="27"/>
      <c r="K158" s="27"/>
      <c r="L158" s="27"/>
    </row>
    <row r="159" spans="1:12" hidden="1" x14ac:dyDescent="0.35">
      <c r="A159" s="9">
        <v>49768</v>
      </c>
      <c r="B159" s="9" t="s">
        <v>178</v>
      </c>
      <c r="C159" s="9" t="s">
        <v>156</v>
      </c>
      <c r="D159" s="9" t="s">
        <v>191</v>
      </c>
      <c r="E159" s="9">
        <v>6</v>
      </c>
      <c r="F15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9" s="27"/>
      <c r="H159" s="27"/>
      <c r="I159" s="27"/>
      <c r="J159" s="27"/>
      <c r="K159" s="27"/>
      <c r="L159" s="27"/>
    </row>
    <row r="160" spans="1:12" hidden="1" x14ac:dyDescent="0.35">
      <c r="A160" s="9">
        <v>52397</v>
      </c>
      <c r="B160" s="9" t="s">
        <v>205</v>
      </c>
      <c r="C160" s="9" t="s">
        <v>156</v>
      </c>
      <c r="D160" s="9" t="s">
        <v>207</v>
      </c>
      <c r="E160" s="9">
        <v>6</v>
      </c>
      <c r="F16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0" s="27"/>
      <c r="H160" s="27"/>
      <c r="I160" s="27"/>
      <c r="J160" s="27"/>
      <c r="K160" s="27"/>
      <c r="L160" s="27"/>
    </row>
    <row r="161" spans="1:12" hidden="1" x14ac:dyDescent="0.35">
      <c r="A161" s="9">
        <v>53292</v>
      </c>
      <c r="B161" s="9" t="s">
        <v>171</v>
      </c>
      <c r="C161" s="9" t="s">
        <v>156</v>
      </c>
      <c r="D161" s="9" t="s">
        <v>175</v>
      </c>
      <c r="E161" s="9">
        <v>6</v>
      </c>
      <c r="F16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1" s="27"/>
      <c r="H161" s="27"/>
      <c r="I161" s="27"/>
      <c r="J161" s="27"/>
      <c r="K161" s="27"/>
      <c r="L161" s="27"/>
    </row>
    <row r="162" spans="1:12" hidden="1" x14ac:dyDescent="0.35">
      <c r="A162" s="9">
        <v>53294</v>
      </c>
      <c r="B162" s="9" t="s">
        <v>210</v>
      </c>
      <c r="C162" s="9" t="s">
        <v>156</v>
      </c>
      <c r="D162" s="9" t="s">
        <v>213</v>
      </c>
      <c r="E162" s="9">
        <v>6</v>
      </c>
      <c r="F16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2" s="27"/>
      <c r="H162" s="27"/>
      <c r="I162" s="27"/>
      <c r="J162" s="27"/>
      <c r="K162" s="27"/>
      <c r="L162" s="27"/>
    </row>
    <row r="163" spans="1:12" hidden="1" x14ac:dyDescent="0.35">
      <c r="A163" s="9">
        <v>53307</v>
      </c>
      <c r="B163" s="9" t="s">
        <v>215</v>
      </c>
      <c r="C163" s="9" t="s">
        <v>156</v>
      </c>
      <c r="D163" s="9" t="s">
        <v>216</v>
      </c>
      <c r="E163" s="9">
        <v>6</v>
      </c>
      <c r="F16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3" s="27"/>
      <c r="H163" s="27"/>
      <c r="I163" s="27"/>
      <c r="J163" s="27"/>
      <c r="K163" s="27"/>
      <c r="L163" s="27"/>
    </row>
    <row r="164" spans="1:12" hidden="1" x14ac:dyDescent="0.35">
      <c r="A164" s="9">
        <v>54494</v>
      </c>
      <c r="B164" s="9" t="s">
        <v>178</v>
      </c>
      <c r="C164" s="9" t="s">
        <v>156</v>
      </c>
      <c r="D164" s="9" t="s">
        <v>185</v>
      </c>
      <c r="E164" s="9">
        <v>6</v>
      </c>
      <c r="F16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4" s="27"/>
      <c r="H164" s="27"/>
      <c r="I164" s="27"/>
      <c r="J164" s="27"/>
      <c r="K164" s="27"/>
      <c r="L164" s="27"/>
    </row>
    <row r="165" spans="1:12" hidden="1" x14ac:dyDescent="0.35">
      <c r="A165" s="9">
        <v>58071</v>
      </c>
      <c r="B165" s="9" t="s">
        <v>171</v>
      </c>
      <c r="C165" s="9" t="s">
        <v>156</v>
      </c>
      <c r="D165" s="9" t="s">
        <v>177</v>
      </c>
      <c r="E165" s="9">
        <v>6</v>
      </c>
      <c r="F16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5" s="27"/>
      <c r="H165" s="27"/>
      <c r="I165" s="27"/>
      <c r="J165" s="27"/>
      <c r="K165" s="27"/>
      <c r="L165" s="27"/>
    </row>
    <row r="166" spans="1:12" hidden="1" x14ac:dyDescent="0.35">
      <c r="A166" s="9">
        <v>58444</v>
      </c>
      <c r="B166" s="9" t="s">
        <v>178</v>
      </c>
      <c r="C166" s="9" t="s">
        <v>156</v>
      </c>
      <c r="D166" s="9" t="s">
        <v>183</v>
      </c>
      <c r="E166" s="9">
        <v>6</v>
      </c>
      <c r="F16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6" s="27"/>
      <c r="H166" s="27"/>
      <c r="I166" s="27"/>
      <c r="J166" s="27"/>
      <c r="K166" s="27"/>
      <c r="L166" s="27"/>
    </row>
    <row r="167" spans="1:12" hidden="1" x14ac:dyDescent="0.35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99A0-C7B8-4476-8041-6EF9F4B6E66C}">
  <sheetPr codeName="Sheet12"/>
  <dimension ref="A1:L193"/>
  <sheetViews>
    <sheetView topLeftCell="B1"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" s="27"/>
      <c r="H17" s="27"/>
      <c r="I17" s="27"/>
      <c r="J17" s="27"/>
      <c r="K17" s="27"/>
      <c r="L17" s="27"/>
    </row>
    <row r="18" spans="1:12" hidden="1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" s="27"/>
      <c r="H18" s="27"/>
      <c r="I18" s="27"/>
      <c r="J18" s="27"/>
      <c r="K18" s="27"/>
      <c r="L18" s="27"/>
    </row>
    <row r="19" spans="1:12" hidden="1" x14ac:dyDescent="0.35">
      <c r="A19" s="9">
        <v>134</v>
      </c>
      <c r="B19" s="9" t="s">
        <v>44</v>
      </c>
      <c r="C19" s="9" t="s">
        <v>45</v>
      </c>
      <c r="D19" s="9" t="s">
        <v>49</v>
      </c>
      <c r="E19" s="9">
        <v>6</v>
      </c>
      <c r="F1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" s="27"/>
      <c r="H19" s="27"/>
      <c r="I19" s="27"/>
      <c r="J19" s="27"/>
      <c r="K19" s="27"/>
      <c r="L19" s="27"/>
    </row>
    <row r="20" spans="1:12" hidden="1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0" s="27"/>
      <c r="H20" s="27"/>
      <c r="I20" s="27"/>
      <c r="J20" s="27"/>
      <c r="K20" s="27"/>
      <c r="L20" s="27"/>
    </row>
    <row r="21" spans="1:12" hidden="1" x14ac:dyDescent="0.35">
      <c r="A21" s="9">
        <v>41536</v>
      </c>
      <c r="B21" s="9" t="s">
        <v>50</v>
      </c>
      <c r="C21" s="9" t="s">
        <v>45</v>
      </c>
      <c r="D21" s="9" t="s">
        <v>51</v>
      </c>
      <c r="E21" s="9">
        <v>6</v>
      </c>
      <c r="F2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1" s="27"/>
      <c r="H21" s="27"/>
      <c r="I21" s="27"/>
      <c r="J21" s="27"/>
      <c r="K21" s="27"/>
      <c r="L21" s="27"/>
    </row>
    <row r="22" spans="1:12" hidden="1" x14ac:dyDescent="0.35">
      <c r="A22" s="9">
        <v>53301</v>
      </c>
      <c r="B22" s="9" t="s">
        <v>44</v>
      </c>
      <c r="C22" s="9" t="s">
        <v>45</v>
      </c>
      <c r="D22" s="9" t="s">
        <v>47</v>
      </c>
      <c r="E22" s="9">
        <v>6</v>
      </c>
      <c r="F2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2" s="27"/>
      <c r="H22" s="27"/>
      <c r="I22" s="27"/>
      <c r="J22" s="27"/>
      <c r="K22" s="27"/>
      <c r="L22" s="27"/>
    </row>
    <row r="23" spans="1:12" hidden="1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5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5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5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5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5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5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5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5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5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5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5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5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5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5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5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5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5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5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5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5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5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5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5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5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5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5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5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5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5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5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5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5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5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5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5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5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5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5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5">
      <c r="A63" s="9">
        <v>23103</v>
      </c>
      <c r="B63" s="9" t="s">
        <v>118</v>
      </c>
      <c r="C63" s="9" t="s">
        <v>100</v>
      </c>
      <c r="D63" s="9" t="s">
        <v>122</v>
      </c>
      <c r="E63" s="9">
        <v>12</v>
      </c>
      <c r="F6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5">
      <c r="A64" s="9">
        <v>30787</v>
      </c>
      <c r="B64" s="9" t="s">
        <v>111</v>
      </c>
      <c r="C64" s="9" t="s">
        <v>100</v>
      </c>
      <c r="D64" s="9" t="s">
        <v>113</v>
      </c>
      <c r="E64" s="9">
        <v>12</v>
      </c>
      <c r="F6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5">
      <c r="A65" s="9">
        <v>35199</v>
      </c>
      <c r="B65" s="9" t="s">
        <v>99</v>
      </c>
      <c r="C65" s="9" t="s">
        <v>100</v>
      </c>
      <c r="D65" s="9" t="s">
        <v>105</v>
      </c>
      <c r="E65" s="9">
        <v>12</v>
      </c>
      <c r="F6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5">
      <c r="A67" s="9">
        <v>35342</v>
      </c>
      <c r="B67" s="9" t="s">
        <v>99</v>
      </c>
      <c r="C67" s="9" t="s">
        <v>100</v>
      </c>
      <c r="D67" s="9" t="s">
        <v>109</v>
      </c>
      <c r="E67" s="9">
        <v>12</v>
      </c>
      <c r="F6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5">
      <c r="A68" s="9">
        <v>35541</v>
      </c>
      <c r="B68" s="9" t="s">
        <v>114</v>
      </c>
      <c r="C68" s="9" t="s">
        <v>100</v>
      </c>
      <c r="D68" s="9" t="s">
        <v>115</v>
      </c>
      <c r="E68" s="9">
        <v>6</v>
      </c>
      <c r="F6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5">
      <c r="A69" s="9">
        <v>36883</v>
      </c>
      <c r="B69" s="9" t="s">
        <v>118</v>
      </c>
      <c r="C69" s="9" t="s">
        <v>100</v>
      </c>
      <c r="D69" s="9" t="s">
        <v>120</v>
      </c>
      <c r="E69" s="9">
        <v>6</v>
      </c>
      <c r="F6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5">
      <c r="A70" s="9">
        <v>36935</v>
      </c>
      <c r="B70" s="9" t="s">
        <v>129</v>
      </c>
      <c r="C70" s="9" t="s">
        <v>100</v>
      </c>
      <c r="D70" s="9" t="s">
        <v>134</v>
      </c>
      <c r="E70" s="9">
        <v>12</v>
      </c>
      <c r="F7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5">
      <c r="A71" s="9">
        <v>37272</v>
      </c>
      <c r="B71" s="9" t="s">
        <v>99</v>
      </c>
      <c r="C71" s="9" t="s">
        <v>100</v>
      </c>
      <c r="D71" s="9" t="s">
        <v>108</v>
      </c>
      <c r="E71" s="9">
        <v>6</v>
      </c>
      <c r="F7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5">
      <c r="A72" s="9">
        <v>37350</v>
      </c>
      <c r="B72" s="9" t="s">
        <v>114</v>
      </c>
      <c r="C72" s="9" t="s">
        <v>100</v>
      </c>
      <c r="D72" s="9" t="s">
        <v>117</v>
      </c>
      <c r="E72" s="9">
        <v>6</v>
      </c>
      <c r="F7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5">
      <c r="A73" s="9">
        <v>42817</v>
      </c>
      <c r="B73" s="9" t="s">
        <v>99</v>
      </c>
      <c r="C73" s="9" t="s">
        <v>100</v>
      </c>
      <c r="D73" s="9" t="s">
        <v>107</v>
      </c>
      <c r="E73" s="9">
        <v>6</v>
      </c>
      <c r="F7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5">
      <c r="A74" s="9">
        <v>43634</v>
      </c>
      <c r="B74" s="9" t="s">
        <v>118</v>
      </c>
      <c r="C74" s="9" t="s">
        <v>100</v>
      </c>
      <c r="D74" s="9" t="s">
        <v>128</v>
      </c>
      <c r="E74" s="9">
        <v>12</v>
      </c>
      <c r="F7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5">
      <c r="A75" s="9">
        <v>51559</v>
      </c>
      <c r="B75" s="9" t="s">
        <v>118</v>
      </c>
      <c r="C75" s="9" t="s">
        <v>100</v>
      </c>
      <c r="D75" s="9" t="s">
        <v>119</v>
      </c>
      <c r="E75" s="9">
        <v>12</v>
      </c>
      <c r="F7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5">
      <c r="A76" s="9">
        <v>52415</v>
      </c>
      <c r="B76" s="9" t="s">
        <v>129</v>
      </c>
      <c r="C76" s="9" t="s">
        <v>100</v>
      </c>
      <c r="D76" s="9" t="s">
        <v>132</v>
      </c>
      <c r="E76" s="9">
        <v>12</v>
      </c>
      <c r="F7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5">
      <c r="A77" s="9">
        <v>53020</v>
      </c>
      <c r="B77" s="9" t="s">
        <v>129</v>
      </c>
      <c r="C77" s="9" t="s">
        <v>100</v>
      </c>
      <c r="D77" s="9" t="s">
        <v>133</v>
      </c>
      <c r="E77" s="9">
        <v>6</v>
      </c>
      <c r="F7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5">
      <c r="A78" s="9">
        <v>55272</v>
      </c>
      <c r="B78" s="9" t="s">
        <v>99</v>
      </c>
      <c r="C78" s="9" t="s">
        <v>100</v>
      </c>
      <c r="D78" s="9" t="s">
        <v>102</v>
      </c>
      <c r="E78" s="9">
        <v>6</v>
      </c>
      <c r="F7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5">
      <c r="A79" s="9">
        <v>55624</v>
      </c>
      <c r="B79" s="9" t="s">
        <v>99</v>
      </c>
      <c r="C79" s="9" t="s">
        <v>100</v>
      </c>
      <c r="D79" s="9" t="s">
        <v>110</v>
      </c>
      <c r="E79" s="9">
        <v>6</v>
      </c>
      <c r="F7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5">
      <c r="A80" s="9">
        <v>56067</v>
      </c>
      <c r="B80" s="9" t="s">
        <v>129</v>
      </c>
      <c r="C80" s="9" t="s">
        <v>100</v>
      </c>
      <c r="D80" s="9" t="s">
        <v>130</v>
      </c>
      <c r="E80" s="9">
        <v>6</v>
      </c>
      <c r="F8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5">
      <c r="A81" s="9">
        <v>56309</v>
      </c>
      <c r="B81" s="9" t="s">
        <v>118</v>
      </c>
      <c r="C81" s="9" t="s">
        <v>100</v>
      </c>
      <c r="D81" s="9" t="s">
        <v>126</v>
      </c>
      <c r="E81" s="9">
        <v>6</v>
      </c>
      <c r="F8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5">
      <c r="A82" s="9">
        <v>56662</v>
      </c>
      <c r="B82" s="9" t="s">
        <v>99</v>
      </c>
      <c r="C82" s="9" t="s">
        <v>100</v>
      </c>
      <c r="D82" s="9" t="s">
        <v>103</v>
      </c>
      <c r="E82" s="9">
        <v>12</v>
      </c>
      <c r="F8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5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5">
      <c r="A84" s="9">
        <v>58826</v>
      </c>
      <c r="B84" s="9" t="s">
        <v>111</v>
      </c>
      <c r="C84" s="9" t="s">
        <v>100</v>
      </c>
      <c r="D84" s="9" t="s">
        <v>112</v>
      </c>
      <c r="E84" s="9">
        <v>12</v>
      </c>
      <c r="F8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5">
      <c r="A85" s="9">
        <v>62944</v>
      </c>
      <c r="B85" s="9" t="s">
        <v>118</v>
      </c>
      <c r="C85" s="9" t="s">
        <v>100</v>
      </c>
      <c r="D85" s="9" t="s">
        <v>124</v>
      </c>
      <c r="E85" s="9">
        <v>6</v>
      </c>
      <c r="F8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5">
      <c r="A86" s="9">
        <v>63102</v>
      </c>
      <c r="B86" s="9" t="s">
        <v>118</v>
      </c>
      <c r="C86" s="9" t="s">
        <v>100</v>
      </c>
      <c r="D86" s="9" t="s">
        <v>121</v>
      </c>
      <c r="E86" s="9">
        <v>6</v>
      </c>
      <c r="F8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5">
      <c r="A87" s="9">
        <v>63301</v>
      </c>
      <c r="B87" s="9" t="s">
        <v>129</v>
      </c>
      <c r="C87" s="9" t="s">
        <v>100</v>
      </c>
      <c r="D87" s="9" t="s">
        <v>131</v>
      </c>
      <c r="E87" s="9">
        <v>6</v>
      </c>
      <c r="F8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5">
      <c r="A88" s="9">
        <v>64873</v>
      </c>
      <c r="B88" s="9" t="s">
        <v>114</v>
      </c>
      <c r="C88" s="9" t="s">
        <v>100</v>
      </c>
      <c r="D88" s="9" t="s">
        <v>116</v>
      </c>
      <c r="E88" s="9">
        <v>6</v>
      </c>
      <c r="F8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5">
      <c r="A89" s="9">
        <v>65226</v>
      </c>
      <c r="B89" s="9" t="s">
        <v>118</v>
      </c>
      <c r="C89" s="9" t="s">
        <v>100</v>
      </c>
      <c r="D89" s="9" t="s">
        <v>127</v>
      </c>
      <c r="E89" s="9">
        <v>6</v>
      </c>
      <c r="F8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5">
      <c r="A90" s="9">
        <v>67349</v>
      </c>
      <c r="B90" s="9" t="s">
        <v>118</v>
      </c>
      <c r="C90" s="9" t="s">
        <v>100</v>
      </c>
      <c r="D90" s="9" t="s">
        <v>125</v>
      </c>
      <c r="E90" s="9">
        <v>6</v>
      </c>
      <c r="F9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5">
      <c r="A91" s="9">
        <v>69117</v>
      </c>
      <c r="B91" s="9" t="s">
        <v>99</v>
      </c>
      <c r="C91" s="9" t="s">
        <v>100</v>
      </c>
      <c r="D91" s="9" t="s">
        <v>106</v>
      </c>
      <c r="E91" s="9">
        <v>6</v>
      </c>
      <c r="F9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5">
      <c r="A92" s="9">
        <v>69451</v>
      </c>
      <c r="B92" s="9" t="s">
        <v>99</v>
      </c>
      <c r="C92" s="9" t="s">
        <v>100</v>
      </c>
      <c r="D92" s="9" t="s">
        <v>101</v>
      </c>
      <c r="E92" s="9">
        <v>6</v>
      </c>
      <c r="F9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8" s="27"/>
      <c r="H108" s="27"/>
      <c r="I108" s="27"/>
      <c r="J108" s="27"/>
      <c r="K108" s="27"/>
      <c r="L108" s="27"/>
    </row>
    <row r="109" spans="1:12" hidden="1" x14ac:dyDescent="0.35">
      <c r="A109" s="9">
        <v>9</v>
      </c>
      <c r="B109" s="9" t="s">
        <v>166</v>
      </c>
      <c r="C109" s="9" t="s">
        <v>156</v>
      </c>
      <c r="D109" s="9" t="s">
        <v>167</v>
      </c>
      <c r="E109" s="9">
        <v>6</v>
      </c>
      <c r="F10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9" s="27"/>
      <c r="H109" s="27"/>
      <c r="I109" s="27"/>
      <c r="J109" s="27"/>
      <c r="K109" s="27"/>
      <c r="L109" s="27"/>
    </row>
    <row r="110" spans="1:12" hidden="1" x14ac:dyDescent="0.35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0" s="27"/>
      <c r="H110" s="27"/>
      <c r="I110" s="27"/>
      <c r="J110" s="27"/>
      <c r="K110" s="27"/>
      <c r="L110" s="27"/>
    </row>
    <row r="111" spans="1:12" hidden="1" x14ac:dyDescent="0.35">
      <c r="A111" s="9">
        <v>30</v>
      </c>
      <c r="B111" s="9" t="s">
        <v>171</v>
      </c>
      <c r="C111" s="9" t="s">
        <v>156</v>
      </c>
      <c r="D111" s="9" t="s">
        <v>176</v>
      </c>
      <c r="E111" s="9">
        <v>6</v>
      </c>
      <c r="F11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1" s="27"/>
      <c r="H111" s="27"/>
      <c r="I111" s="27"/>
      <c r="J111" s="27"/>
      <c r="K111" s="27"/>
      <c r="L111" s="27"/>
    </row>
    <row r="112" spans="1:12" hidden="1" x14ac:dyDescent="0.35">
      <c r="A112" s="9">
        <v>33</v>
      </c>
      <c r="B112" s="9" t="s">
        <v>215</v>
      </c>
      <c r="C112" s="9" t="s">
        <v>156</v>
      </c>
      <c r="D112" s="9" t="s">
        <v>223</v>
      </c>
      <c r="E112" s="9">
        <v>12</v>
      </c>
      <c r="F11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2" s="27"/>
      <c r="H112" s="27"/>
      <c r="I112" s="27"/>
      <c r="J112" s="27"/>
      <c r="K112" s="27"/>
      <c r="L112" s="27"/>
    </row>
    <row r="113" spans="1:12" hidden="1" x14ac:dyDescent="0.35">
      <c r="A113" s="9">
        <v>53</v>
      </c>
      <c r="B113" s="9" t="s">
        <v>166</v>
      </c>
      <c r="C113" s="9" t="s">
        <v>156</v>
      </c>
      <c r="D113" s="9" t="s">
        <v>169</v>
      </c>
      <c r="E113" s="9">
        <v>6</v>
      </c>
      <c r="F11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3" s="27"/>
      <c r="H113" s="27"/>
      <c r="I113" s="27"/>
      <c r="J113" s="27"/>
      <c r="K113" s="27"/>
      <c r="L113" s="27"/>
    </row>
    <row r="114" spans="1:12" hidden="1" x14ac:dyDescent="0.35">
      <c r="A114" s="9">
        <v>66</v>
      </c>
      <c r="B114" s="9" t="s">
        <v>178</v>
      </c>
      <c r="C114" s="9" t="s">
        <v>156</v>
      </c>
      <c r="D114" s="9" t="s">
        <v>187</v>
      </c>
      <c r="E114" s="9">
        <v>6</v>
      </c>
      <c r="F11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4" s="27"/>
      <c r="H114" s="27"/>
      <c r="I114" s="27"/>
      <c r="J114" s="27"/>
      <c r="K114" s="27"/>
      <c r="L114" s="27"/>
    </row>
    <row r="115" spans="1:12" hidden="1" x14ac:dyDescent="0.35">
      <c r="A115" s="9">
        <v>90</v>
      </c>
      <c r="B115" s="9" t="s">
        <v>155</v>
      </c>
      <c r="C115" s="9" t="s">
        <v>156</v>
      </c>
      <c r="D115" s="9" t="s">
        <v>157</v>
      </c>
      <c r="E115" s="9">
        <v>6</v>
      </c>
      <c r="F11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5" s="27"/>
      <c r="H115" s="27"/>
      <c r="I115" s="27"/>
      <c r="J115" s="27"/>
      <c r="K115" s="27"/>
      <c r="L115" s="27"/>
    </row>
    <row r="116" spans="1:12" hidden="1" x14ac:dyDescent="0.35">
      <c r="A116" s="9">
        <v>286</v>
      </c>
      <c r="B116" s="9" t="s">
        <v>178</v>
      </c>
      <c r="C116" s="9" t="s">
        <v>156</v>
      </c>
      <c r="D116" s="9" t="s">
        <v>188</v>
      </c>
      <c r="E116" s="9">
        <v>6</v>
      </c>
      <c r="F11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6" s="27"/>
      <c r="H116" s="27"/>
      <c r="I116" s="27"/>
      <c r="J116" s="27"/>
      <c r="K116" s="27"/>
      <c r="L116" s="27"/>
    </row>
    <row r="117" spans="1:12" hidden="1" x14ac:dyDescent="0.3">
      <c r="A117" s="9">
        <v>399</v>
      </c>
      <c r="B117" s="9" t="s">
        <v>198</v>
      </c>
      <c r="C117" s="9" t="s">
        <v>156</v>
      </c>
      <c r="D117" s="9" t="s">
        <v>202</v>
      </c>
      <c r="E117" s="9">
        <v>6</v>
      </c>
      <c r="F117" s="29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7" s="27"/>
      <c r="H117" s="27"/>
      <c r="I117" s="27"/>
      <c r="J117" s="27"/>
      <c r="K117" s="27"/>
      <c r="L117" s="27"/>
    </row>
    <row r="118" spans="1:12" hidden="1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8" s="27"/>
      <c r="H118" s="27"/>
      <c r="I118" s="27"/>
      <c r="J118" s="27"/>
      <c r="K118" s="27"/>
      <c r="L118" s="27"/>
    </row>
    <row r="119" spans="1:12" hidden="1" x14ac:dyDescent="0.35">
      <c r="A119" s="9">
        <v>474</v>
      </c>
      <c r="B119" s="9" t="s">
        <v>166</v>
      </c>
      <c r="C119" s="9" t="s">
        <v>156</v>
      </c>
      <c r="D119" s="9" t="s">
        <v>170</v>
      </c>
      <c r="E119" s="9">
        <v>6</v>
      </c>
      <c r="F11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9" s="27"/>
      <c r="H119" s="27"/>
      <c r="I119" s="27"/>
      <c r="J119" s="27"/>
      <c r="K119" s="27"/>
      <c r="L119" s="27"/>
    </row>
    <row r="120" spans="1:12" hidden="1" x14ac:dyDescent="0.35">
      <c r="A120" s="9">
        <v>503</v>
      </c>
      <c r="B120" s="9" t="s">
        <v>178</v>
      </c>
      <c r="C120" s="9" t="s">
        <v>156</v>
      </c>
      <c r="D120" s="9" t="s">
        <v>192</v>
      </c>
      <c r="E120" s="9">
        <v>6</v>
      </c>
      <c r="F12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0" s="27"/>
      <c r="H120" s="27"/>
      <c r="I120" s="27"/>
      <c r="J120" s="27"/>
      <c r="K120" s="27"/>
      <c r="L120" s="27"/>
    </row>
    <row r="121" spans="1:12" hidden="1" x14ac:dyDescent="0.35">
      <c r="A121" s="9">
        <v>13235</v>
      </c>
      <c r="B121" s="9" t="s">
        <v>158</v>
      </c>
      <c r="C121" s="9" t="s">
        <v>156</v>
      </c>
      <c r="D121" s="9" t="s">
        <v>161</v>
      </c>
      <c r="E121" s="9">
        <v>6</v>
      </c>
      <c r="F12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1" s="27"/>
      <c r="H121" s="27"/>
      <c r="I121" s="27"/>
      <c r="J121" s="27"/>
      <c r="K121" s="27"/>
      <c r="L121" s="27"/>
    </row>
    <row r="122" spans="1:12" hidden="1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2" s="27"/>
      <c r="H122" s="27"/>
      <c r="I122" s="27"/>
      <c r="J122" s="27"/>
      <c r="K122" s="27"/>
      <c r="L122" s="27"/>
    </row>
    <row r="123" spans="1:12" hidden="1" x14ac:dyDescent="0.35">
      <c r="A123" s="9">
        <v>13268</v>
      </c>
      <c r="B123" s="9" t="s">
        <v>215</v>
      </c>
      <c r="C123" s="9" t="s">
        <v>156</v>
      </c>
      <c r="D123" s="9" t="s">
        <v>225</v>
      </c>
      <c r="E123" s="9">
        <v>6</v>
      </c>
      <c r="F12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3" s="27"/>
      <c r="H123" s="27"/>
      <c r="I123" s="27"/>
      <c r="J123" s="27"/>
      <c r="K123" s="27"/>
      <c r="L123" s="27"/>
    </row>
    <row r="124" spans="1:12" hidden="1" x14ac:dyDescent="0.35">
      <c r="A124" s="9">
        <v>15866</v>
      </c>
      <c r="B124" s="9" t="s">
        <v>215</v>
      </c>
      <c r="C124" s="9" t="s">
        <v>156</v>
      </c>
      <c r="D124" s="9" t="s">
        <v>220</v>
      </c>
      <c r="E124" s="9">
        <v>6</v>
      </c>
      <c r="F12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4" s="27"/>
      <c r="H124" s="27"/>
      <c r="I124" s="27"/>
      <c r="J124" s="27"/>
      <c r="K124" s="27"/>
      <c r="L124" s="27"/>
    </row>
    <row r="125" spans="1:12" hidden="1" x14ac:dyDescent="0.35">
      <c r="A125" s="9">
        <v>15979</v>
      </c>
      <c r="B125" s="9" t="s">
        <v>178</v>
      </c>
      <c r="C125" s="9" t="s">
        <v>156</v>
      </c>
      <c r="D125" s="9" t="s">
        <v>184</v>
      </c>
      <c r="E125" s="9">
        <v>6</v>
      </c>
      <c r="F12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5" s="27"/>
      <c r="H125" s="27"/>
      <c r="I125" s="27"/>
      <c r="J125" s="27"/>
      <c r="K125" s="27"/>
      <c r="L125" s="27"/>
    </row>
    <row r="126" spans="1:12" hidden="1" x14ac:dyDescent="0.35">
      <c r="A126" s="9">
        <v>16264</v>
      </c>
      <c r="B126" s="9" t="s">
        <v>158</v>
      </c>
      <c r="C126" s="9" t="s">
        <v>156</v>
      </c>
      <c r="D126" s="9" t="s">
        <v>162</v>
      </c>
      <c r="E126" s="9">
        <v>6</v>
      </c>
      <c r="F12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6" s="27"/>
      <c r="H126" s="27"/>
      <c r="I126" s="27"/>
      <c r="J126" s="27"/>
      <c r="K126" s="27"/>
      <c r="L126" s="27"/>
    </row>
    <row r="127" spans="1:12" hidden="1" x14ac:dyDescent="0.35">
      <c r="A127" s="9">
        <v>16270</v>
      </c>
      <c r="B127" s="9" t="s">
        <v>198</v>
      </c>
      <c r="C127" s="9" t="s">
        <v>156</v>
      </c>
      <c r="D127" s="9" t="s">
        <v>201</v>
      </c>
      <c r="E127" s="9">
        <v>12</v>
      </c>
      <c r="F12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7" s="27"/>
      <c r="H127" s="27"/>
      <c r="I127" s="27"/>
      <c r="J127" s="27"/>
      <c r="K127" s="27"/>
      <c r="L127" s="27"/>
    </row>
    <row r="128" spans="1:12" hidden="1" x14ac:dyDescent="0.35">
      <c r="A128" s="9">
        <v>16960</v>
      </c>
      <c r="B128" s="9" t="s">
        <v>215</v>
      </c>
      <c r="C128" s="9" t="s">
        <v>156</v>
      </c>
      <c r="D128" s="9" t="s">
        <v>217</v>
      </c>
      <c r="E128" s="9">
        <v>6</v>
      </c>
      <c r="F12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8" s="27"/>
      <c r="H128" s="27"/>
      <c r="I128" s="27"/>
      <c r="J128" s="27"/>
      <c r="K128" s="27"/>
      <c r="L128" s="27"/>
    </row>
    <row r="129" spans="1:12" hidden="1" x14ac:dyDescent="0.35">
      <c r="A129" s="9">
        <v>17740</v>
      </c>
      <c r="B129" s="9" t="s">
        <v>215</v>
      </c>
      <c r="C129" s="9" t="s">
        <v>156</v>
      </c>
      <c r="D129" s="9" t="s">
        <v>222</v>
      </c>
      <c r="E129" s="9">
        <v>6</v>
      </c>
      <c r="F12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9" s="27"/>
      <c r="H129" s="27"/>
      <c r="I129" s="27"/>
      <c r="J129" s="27"/>
      <c r="K129" s="27"/>
      <c r="L129" s="27"/>
    </row>
    <row r="130" spans="1:12" hidden="1" x14ac:dyDescent="0.35">
      <c r="A130" s="9">
        <v>17906</v>
      </c>
      <c r="B130" s="9" t="s">
        <v>178</v>
      </c>
      <c r="C130" s="9" t="s">
        <v>156</v>
      </c>
      <c r="D130" s="9" t="s">
        <v>180</v>
      </c>
      <c r="E130" s="9">
        <v>6</v>
      </c>
      <c r="F13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0" s="27"/>
      <c r="H130" s="27"/>
      <c r="I130" s="27"/>
      <c r="J130" s="27"/>
      <c r="K130" s="27"/>
      <c r="L130" s="27"/>
    </row>
    <row r="131" spans="1:12" hidden="1" x14ac:dyDescent="0.35">
      <c r="A131" s="9">
        <v>18100</v>
      </c>
      <c r="B131" s="9" t="s">
        <v>178</v>
      </c>
      <c r="C131" s="9" t="s">
        <v>156</v>
      </c>
      <c r="D131" s="9" t="s">
        <v>190</v>
      </c>
      <c r="E131" s="9">
        <v>6</v>
      </c>
      <c r="F13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1" s="27"/>
      <c r="H131" s="27"/>
      <c r="I131" s="27"/>
      <c r="J131" s="27"/>
      <c r="K131" s="27"/>
      <c r="L131" s="27"/>
    </row>
    <row r="132" spans="1:12" hidden="1" x14ac:dyDescent="0.35">
      <c r="A132" s="9">
        <v>18101</v>
      </c>
      <c r="B132" s="9" t="s">
        <v>198</v>
      </c>
      <c r="C132" s="9" t="s">
        <v>156</v>
      </c>
      <c r="D132" s="9" t="s">
        <v>200</v>
      </c>
      <c r="E132" s="9">
        <v>6</v>
      </c>
      <c r="F13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2" s="27"/>
      <c r="H132" s="27"/>
      <c r="I132" s="27"/>
      <c r="J132" s="27"/>
      <c r="K132" s="27"/>
      <c r="L132" s="27"/>
    </row>
    <row r="133" spans="1:12" hidden="1" x14ac:dyDescent="0.35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3" s="27"/>
      <c r="H133" s="27"/>
      <c r="I133" s="27"/>
      <c r="J133" s="27"/>
      <c r="K133" s="27"/>
      <c r="L133" s="27"/>
    </row>
    <row r="134" spans="1:12" hidden="1" x14ac:dyDescent="0.35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4" s="27"/>
      <c r="H134" s="27"/>
      <c r="I134" s="27"/>
      <c r="J134" s="27"/>
      <c r="K134" s="27"/>
      <c r="L134" s="27"/>
    </row>
    <row r="135" spans="1:12" hidden="1" x14ac:dyDescent="0.35">
      <c r="A135" s="9">
        <v>22426</v>
      </c>
      <c r="B135" s="9" t="s">
        <v>196</v>
      </c>
      <c r="C135" s="9" t="s">
        <v>156</v>
      </c>
      <c r="D135" s="9" t="s">
        <v>197</v>
      </c>
      <c r="E135" s="9">
        <v>6</v>
      </c>
      <c r="F13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5" s="27"/>
      <c r="H135" s="27"/>
      <c r="I135" s="27"/>
      <c r="J135" s="27"/>
      <c r="K135" s="27"/>
      <c r="L135" s="27"/>
    </row>
    <row r="136" spans="1:12" hidden="1" x14ac:dyDescent="0.35">
      <c r="A136" s="9">
        <v>22627</v>
      </c>
      <c r="B136" s="9" t="s">
        <v>215</v>
      </c>
      <c r="C136" s="9" t="s">
        <v>156</v>
      </c>
      <c r="D136" s="9" t="s">
        <v>218</v>
      </c>
      <c r="E136" s="9">
        <v>6</v>
      </c>
      <c r="F13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6" s="27"/>
      <c r="H136" s="27"/>
      <c r="I136" s="27"/>
      <c r="J136" s="27"/>
      <c r="K136" s="27"/>
      <c r="L136" s="27"/>
    </row>
    <row r="137" spans="1:12" hidden="1" x14ac:dyDescent="0.35">
      <c r="A137" s="9">
        <v>22780</v>
      </c>
      <c r="B137" s="9" t="s">
        <v>194</v>
      </c>
      <c r="C137" s="9" t="s">
        <v>156</v>
      </c>
      <c r="D137" s="9" t="s">
        <v>195</v>
      </c>
      <c r="E137" s="9">
        <v>6</v>
      </c>
      <c r="F13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7" s="27"/>
      <c r="H137" s="27"/>
      <c r="I137" s="27"/>
      <c r="J137" s="27"/>
      <c r="K137" s="27"/>
      <c r="L137" s="27"/>
    </row>
    <row r="138" spans="1:12" hidden="1" x14ac:dyDescent="0.35">
      <c r="A138" s="9">
        <v>22901</v>
      </c>
      <c r="B138" s="9" t="s">
        <v>210</v>
      </c>
      <c r="C138" s="9" t="s">
        <v>156</v>
      </c>
      <c r="D138" s="9" t="s">
        <v>212</v>
      </c>
      <c r="E138" s="9">
        <v>6</v>
      </c>
      <c r="F13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8" s="27"/>
      <c r="H138" s="27"/>
      <c r="I138" s="27"/>
      <c r="J138" s="27"/>
      <c r="K138" s="27"/>
      <c r="L138" s="27"/>
    </row>
    <row r="139" spans="1:12" hidden="1" x14ac:dyDescent="0.35">
      <c r="A139" s="9">
        <v>32094</v>
      </c>
      <c r="B139" s="9" t="s">
        <v>210</v>
      </c>
      <c r="C139" s="9" t="s">
        <v>156</v>
      </c>
      <c r="D139" s="9" t="s">
        <v>211</v>
      </c>
      <c r="E139" s="9">
        <v>6</v>
      </c>
      <c r="F13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9" s="27"/>
      <c r="H139" s="27"/>
      <c r="I139" s="27"/>
      <c r="J139" s="27"/>
      <c r="K139" s="27"/>
      <c r="L139" s="27"/>
    </row>
    <row r="140" spans="1:12" hidden="1" x14ac:dyDescent="0.35">
      <c r="A140" s="9">
        <v>32398</v>
      </c>
      <c r="B140" s="9" t="s">
        <v>205</v>
      </c>
      <c r="C140" s="9" t="s">
        <v>156</v>
      </c>
      <c r="D140" s="9" t="s">
        <v>209</v>
      </c>
      <c r="E140" s="9">
        <v>12</v>
      </c>
      <c r="F14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0" s="27"/>
      <c r="H140" s="27"/>
      <c r="I140" s="27"/>
      <c r="J140" s="27"/>
      <c r="K140" s="27"/>
      <c r="L140" s="27"/>
    </row>
    <row r="141" spans="1:12" hidden="1" x14ac:dyDescent="0.35">
      <c r="A141" s="9">
        <v>32450</v>
      </c>
      <c r="B141" s="9" t="s">
        <v>215</v>
      </c>
      <c r="C141" s="9" t="s">
        <v>156</v>
      </c>
      <c r="D141" s="9" t="s">
        <v>221</v>
      </c>
      <c r="E141" s="9">
        <v>6</v>
      </c>
      <c r="F14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1" s="27"/>
      <c r="H141" s="27"/>
      <c r="I141" s="27"/>
      <c r="J141" s="27"/>
      <c r="K141" s="27"/>
      <c r="L141" s="27"/>
    </row>
    <row r="142" spans="1:12" hidden="1" x14ac:dyDescent="0.35">
      <c r="A142" s="9">
        <v>32483</v>
      </c>
      <c r="B142" s="9" t="s">
        <v>178</v>
      </c>
      <c r="C142" s="9" t="s">
        <v>156</v>
      </c>
      <c r="D142" s="9" t="s">
        <v>179</v>
      </c>
      <c r="E142" s="9">
        <v>6</v>
      </c>
      <c r="F14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2" s="27"/>
      <c r="H142" s="27"/>
      <c r="I142" s="27"/>
      <c r="J142" s="27"/>
      <c r="K142" s="27"/>
      <c r="L142" s="27"/>
    </row>
    <row r="143" spans="1:12" hidden="1" x14ac:dyDescent="0.35">
      <c r="A143" s="9">
        <v>33353</v>
      </c>
      <c r="B143" s="9" t="s">
        <v>198</v>
      </c>
      <c r="C143" s="9" t="s">
        <v>156</v>
      </c>
      <c r="D143" s="9" t="s">
        <v>199</v>
      </c>
      <c r="E143" s="9">
        <v>6</v>
      </c>
      <c r="F14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3" s="27"/>
      <c r="H143" s="27"/>
      <c r="I143" s="27"/>
      <c r="J143" s="27"/>
      <c r="K143" s="27"/>
      <c r="L143" s="27"/>
    </row>
    <row r="144" spans="1:12" hidden="1" x14ac:dyDescent="0.35">
      <c r="A144" s="9">
        <v>33975</v>
      </c>
      <c r="B144" s="9" t="s">
        <v>158</v>
      </c>
      <c r="C144" s="9" t="s">
        <v>156</v>
      </c>
      <c r="D144" s="9" t="s">
        <v>164</v>
      </c>
      <c r="E144" s="9">
        <v>6</v>
      </c>
      <c r="F14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4" s="27"/>
      <c r="H144" s="27"/>
      <c r="I144" s="27"/>
      <c r="J144" s="27"/>
      <c r="K144" s="27"/>
      <c r="L144" s="27"/>
    </row>
    <row r="145" spans="1:12" hidden="1" x14ac:dyDescent="0.35">
      <c r="A145" s="9">
        <v>34091</v>
      </c>
      <c r="B145" s="9" t="s">
        <v>178</v>
      </c>
      <c r="C145" s="9" t="s">
        <v>156</v>
      </c>
      <c r="D145" s="9" t="s">
        <v>182</v>
      </c>
      <c r="E145" s="9">
        <v>6</v>
      </c>
      <c r="F14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5" s="27"/>
      <c r="H145" s="27"/>
      <c r="I145" s="27"/>
      <c r="J145" s="27"/>
      <c r="K145" s="27"/>
      <c r="L145" s="27"/>
    </row>
    <row r="146" spans="1:12" hidden="1" x14ac:dyDescent="0.35">
      <c r="A146" s="9">
        <v>34680</v>
      </c>
      <c r="B146" s="9" t="s">
        <v>171</v>
      </c>
      <c r="C146" s="9" t="s">
        <v>156</v>
      </c>
      <c r="D146" s="9" t="s">
        <v>174</v>
      </c>
      <c r="E146" s="9">
        <v>6</v>
      </c>
      <c r="F14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6" s="27"/>
      <c r="H146" s="27"/>
      <c r="I146" s="27"/>
      <c r="J146" s="27"/>
      <c r="K146" s="27"/>
      <c r="L146" s="27"/>
    </row>
    <row r="147" spans="1:12" hidden="1" x14ac:dyDescent="0.35">
      <c r="A147" s="9">
        <v>35071</v>
      </c>
      <c r="B147" s="9" t="s">
        <v>205</v>
      </c>
      <c r="C147" s="9" t="s">
        <v>156</v>
      </c>
      <c r="D147" s="9" t="s">
        <v>206</v>
      </c>
      <c r="E147" s="9">
        <v>6</v>
      </c>
      <c r="F14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7" s="27"/>
      <c r="H147" s="27"/>
      <c r="I147" s="27"/>
      <c r="J147" s="27"/>
      <c r="K147" s="27"/>
      <c r="L147" s="27"/>
    </row>
    <row r="148" spans="1:12" hidden="1" x14ac:dyDescent="0.35">
      <c r="A148" s="9">
        <v>37124</v>
      </c>
      <c r="B148" s="9" t="s">
        <v>171</v>
      </c>
      <c r="C148" s="9" t="s">
        <v>156</v>
      </c>
      <c r="D148" s="9" t="s">
        <v>172</v>
      </c>
      <c r="E148" s="9">
        <v>6</v>
      </c>
      <c r="F14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8" s="27"/>
      <c r="H148" s="27"/>
      <c r="I148" s="27"/>
      <c r="J148" s="27"/>
      <c r="K148" s="27"/>
      <c r="L148" s="27"/>
    </row>
    <row r="149" spans="1:12" hidden="1" x14ac:dyDescent="0.35">
      <c r="A149" s="9">
        <v>38167</v>
      </c>
      <c r="B149" s="9" t="s">
        <v>198</v>
      </c>
      <c r="C149" s="9" t="s">
        <v>156</v>
      </c>
      <c r="D149" s="9" t="s">
        <v>203</v>
      </c>
      <c r="E149" s="9">
        <v>6</v>
      </c>
      <c r="F14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9" s="27"/>
      <c r="H149" s="27"/>
      <c r="I149" s="27"/>
      <c r="J149" s="27"/>
      <c r="K149" s="27"/>
      <c r="L149" s="27"/>
    </row>
    <row r="150" spans="1:12" hidden="1" x14ac:dyDescent="0.35">
      <c r="A150" s="9">
        <v>39034</v>
      </c>
      <c r="B150" s="9" t="s">
        <v>210</v>
      </c>
      <c r="C150" s="9" t="s">
        <v>156</v>
      </c>
      <c r="D150" s="9" t="s">
        <v>214</v>
      </c>
      <c r="E150" s="9">
        <v>6</v>
      </c>
      <c r="F15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0" s="27"/>
      <c r="H150" s="27"/>
      <c r="I150" s="27"/>
      <c r="J150" s="27"/>
      <c r="K150" s="27"/>
      <c r="L150" s="27"/>
    </row>
    <row r="151" spans="1:12" hidden="1" x14ac:dyDescent="0.35">
      <c r="A151" s="9">
        <v>39143</v>
      </c>
      <c r="B151" s="9" t="s">
        <v>178</v>
      </c>
      <c r="C151" s="9" t="s">
        <v>156</v>
      </c>
      <c r="D151" s="9" t="s">
        <v>186</v>
      </c>
      <c r="E151" s="9">
        <v>6</v>
      </c>
      <c r="F15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1" s="27"/>
      <c r="H151" s="27"/>
      <c r="I151" s="27"/>
      <c r="J151" s="27"/>
      <c r="K151" s="27"/>
      <c r="L151" s="27"/>
    </row>
    <row r="152" spans="1:12" hidden="1" x14ac:dyDescent="0.35">
      <c r="A152" s="9">
        <v>40369</v>
      </c>
      <c r="B152" s="9" t="s">
        <v>215</v>
      </c>
      <c r="C152" s="9" t="s">
        <v>156</v>
      </c>
      <c r="D152" s="9" t="s">
        <v>224</v>
      </c>
      <c r="E152" s="9">
        <v>6</v>
      </c>
      <c r="F15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2" s="27"/>
      <c r="H152" s="27"/>
      <c r="I152" s="27"/>
      <c r="J152" s="27"/>
      <c r="K152" s="27"/>
      <c r="L152" s="27"/>
    </row>
    <row r="153" spans="1:12" hidden="1" x14ac:dyDescent="0.35">
      <c r="A153" s="9">
        <v>41789</v>
      </c>
      <c r="B153" s="9" t="s">
        <v>205</v>
      </c>
      <c r="C153" s="9" t="s">
        <v>156</v>
      </c>
      <c r="D153" s="9" t="s">
        <v>208</v>
      </c>
      <c r="E153" s="9">
        <v>6</v>
      </c>
      <c r="F15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3" s="27"/>
      <c r="H153" s="27"/>
      <c r="I153" s="27"/>
      <c r="J153" s="27"/>
      <c r="K153" s="27"/>
      <c r="L153" s="27"/>
    </row>
    <row r="154" spans="1:12" hidden="1" x14ac:dyDescent="0.35">
      <c r="A154" s="9">
        <v>42446</v>
      </c>
      <c r="B154" s="9" t="s">
        <v>158</v>
      </c>
      <c r="C154" s="9" t="s">
        <v>156</v>
      </c>
      <c r="D154" s="9" t="s">
        <v>165</v>
      </c>
      <c r="E154" s="9">
        <v>6</v>
      </c>
      <c r="F15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4" s="27"/>
      <c r="H154" s="27"/>
      <c r="I154" s="27"/>
      <c r="J154" s="27"/>
      <c r="K154" s="27"/>
      <c r="L154" s="27"/>
    </row>
    <row r="155" spans="1:12" hidden="1" x14ac:dyDescent="0.35">
      <c r="A155" s="9">
        <v>43490</v>
      </c>
      <c r="B155" s="9" t="s">
        <v>178</v>
      </c>
      <c r="C155" s="9" t="s">
        <v>156</v>
      </c>
      <c r="D155" s="9" t="s">
        <v>189</v>
      </c>
      <c r="E155" s="9">
        <v>6</v>
      </c>
      <c r="F15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5" s="27"/>
      <c r="H155" s="27"/>
      <c r="I155" s="27"/>
      <c r="J155" s="27"/>
      <c r="K155" s="27"/>
      <c r="L155" s="27"/>
    </row>
    <row r="156" spans="1:12" hidden="1" x14ac:dyDescent="0.35">
      <c r="A156" s="9">
        <v>45247</v>
      </c>
      <c r="B156" s="9" t="s">
        <v>158</v>
      </c>
      <c r="C156" s="9" t="s">
        <v>156</v>
      </c>
      <c r="D156" s="9" t="s">
        <v>159</v>
      </c>
      <c r="E156" s="9">
        <v>6</v>
      </c>
      <c r="F15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6" s="27"/>
      <c r="H156" s="27"/>
      <c r="I156" s="27"/>
      <c r="J156" s="27"/>
      <c r="K156" s="27"/>
      <c r="L156" s="27"/>
    </row>
    <row r="157" spans="1:12" hidden="1" x14ac:dyDescent="0.35">
      <c r="A157" s="9">
        <v>45248</v>
      </c>
      <c r="B157" s="9" t="s">
        <v>158</v>
      </c>
      <c r="C157" s="9" t="s">
        <v>156</v>
      </c>
      <c r="D157" s="9" t="s">
        <v>163</v>
      </c>
      <c r="E157" s="9">
        <v>6</v>
      </c>
      <c r="F15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7" s="27"/>
      <c r="H157" s="27"/>
      <c r="I157" s="27"/>
      <c r="J157" s="27"/>
      <c r="K157" s="27"/>
      <c r="L157" s="27"/>
    </row>
    <row r="158" spans="1:12" hidden="1" x14ac:dyDescent="0.35">
      <c r="A158" s="9">
        <v>46286</v>
      </c>
      <c r="B158" s="9" t="s">
        <v>198</v>
      </c>
      <c r="C158" s="9" t="s">
        <v>156</v>
      </c>
      <c r="D158" s="9" t="s">
        <v>204</v>
      </c>
      <c r="E158" s="9">
        <v>6</v>
      </c>
      <c r="F15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8" s="27"/>
      <c r="H158" s="27"/>
      <c r="I158" s="27"/>
      <c r="J158" s="27"/>
      <c r="K158" s="27"/>
      <c r="L158" s="27"/>
    </row>
    <row r="159" spans="1:12" hidden="1" x14ac:dyDescent="0.35">
      <c r="A159" s="9">
        <v>49768</v>
      </c>
      <c r="B159" s="9" t="s">
        <v>178</v>
      </c>
      <c r="C159" s="9" t="s">
        <v>156</v>
      </c>
      <c r="D159" s="9" t="s">
        <v>191</v>
      </c>
      <c r="E159" s="9">
        <v>6</v>
      </c>
      <c r="F15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9" s="27"/>
      <c r="H159" s="27"/>
      <c r="I159" s="27"/>
      <c r="J159" s="27"/>
      <c r="K159" s="27"/>
      <c r="L159" s="27"/>
    </row>
    <row r="160" spans="1:12" hidden="1" x14ac:dyDescent="0.35">
      <c r="A160" s="9">
        <v>52397</v>
      </c>
      <c r="B160" s="9" t="s">
        <v>205</v>
      </c>
      <c r="C160" s="9" t="s">
        <v>156</v>
      </c>
      <c r="D160" s="9" t="s">
        <v>207</v>
      </c>
      <c r="E160" s="9">
        <v>6</v>
      </c>
      <c r="F16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0" s="27"/>
      <c r="H160" s="27"/>
      <c r="I160" s="27"/>
      <c r="J160" s="27"/>
      <c r="K160" s="27"/>
      <c r="L160" s="27"/>
    </row>
    <row r="161" spans="1:12" hidden="1" x14ac:dyDescent="0.35">
      <c r="A161" s="9">
        <v>53292</v>
      </c>
      <c r="B161" s="9" t="s">
        <v>171</v>
      </c>
      <c r="C161" s="9" t="s">
        <v>156</v>
      </c>
      <c r="D161" s="9" t="s">
        <v>175</v>
      </c>
      <c r="E161" s="9">
        <v>6</v>
      </c>
      <c r="F16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1" s="27"/>
      <c r="H161" s="27"/>
      <c r="I161" s="27"/>
      <c r="J161" s="27"/>
      <c r="K161" s="27"/>
      <c r="L161" s="27"/>
    </row>
    <row r="162" spans="1:12" hidden="1" x14ac:dyDescent="0.35">
      <c r="A162" s="9">
        <v>53294</v>
      </c>
      <c r="B162" s="9" t="s">
        <v>210</v>
      </c>
      <c r="C162" s="9" t="s">
        <v>156</v>
      </c>
      <c r="D162" s="9" t="s">
        <v>213</v>
      </c>
      <c r="E162" s="9">
        <v>6</v>
      </c>
      <c r="F16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2" s="27"/>
      <c r="H162" s="27"/>
      <c r="I162" s="27"/>
      <c r="J162" s="27"/>
      <c r="K162" s="27"/>
      <c r="L162" s="27"/>
    </row>
    <row r="163" spans="1:12" hidden="1" x14ac:dyDescent="0.35">
      <c r="A163" s="9">
        <v>53307</v>
      </c>
      <c r="B163" s="9" t="s">
        <v>215</v>
      </c>
      <c r="C163" s="9" t="s">
        <v>156</v>
      </c>
      <c r="D163" s="9" t="s">
        <v>216</v>
      </c>
      <c r="E163" s="9">
        <v>6</v>
      </c>
      <c r="F16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3" s="27"/>
      <c r="H163" s="27"/>
      <c r="I163" s="27"/>
      <c r="J163" s="27"/>
      <c r="K163" s="27"/>
      <c r="L163" s="27"/>
    </row>
    <row r="164" spans="1:12" hidden="1" x14ac:dyDescent="0.35">
      <c r="A164" s="9">
        <v>54494</v>
      </c>
      <c r="B164" s="9" t="s">
        <v>178</v>
      </c>
      <c r="C164" s="9" t="s">
        <v>156</v>
      </c>
      <c r="D164" s="9" t="s">
        <v>185</v>
      </c>
      <c r="E164" s="9">
        <v>6</v>
      </c>
      <c r="F16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4" s="27"/>
      <c r="H164" s="27"/>
      <c r="I164" s="27"/>
      <c r="J164" s="27"/>
      <c r="K164" s="27"/>
      <c r="L164" s="27"/>
    </row>
    <row r="165" spans="1:12" hidden="1" x14ac:dyDescent="0.35">
      <c r="A165" s="9">
        <v>58071</v>
      </c>
      <c r="B165" s="9" t="s">
        <v>171</v>
      </c>
      <c r="C165" s="9" t="s">
        <v>156</v>
      </c>
      <c r="D165" s="9" t="s">
        <v>177</v>
      </c>
      <c r="E165" s="9">
        <v>6</v>
      </c>
      <c r="F16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5" s="27"/>
      <c r="H165" s="27"/>
      <c r="I165" s="27"/>
      <c r="J165" s="27"/>
      <c r="K165" s="27"/>
      <c r="L165" s="27"/>
    </row>
    <row r="166" spans="1:12" hidden="1" x14ac:dyDescent="0.35">
      <c r="A166" s="9">
        <v>58444</v>
      </c>
      <c r="B166" s="9" t="s">
        <v>178</v>
      </c>
      <c r="C166" s="9" t="s">
        <v>156</v>
      </c>
      <c r="D166" s="9" t="s">
        <v>183</v>
      </c>
      <c r="E166" s="9">
        <v>6</v>
      </c>
      <c r="F16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6" s="27"/>
      <c r="H166" s="27"/>
      <c r="I166" s="27"/>
      <c r="J166" s="27"/>
      <c r="K166" s="27"/>
      <c r="L166" s="27"/>
    </row>
    <row r="167" spans="1:12" hidden="1" x14ac:dyDescent="0.35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1AA9-60EF-4ED3-A302-16A6EE6F2A97}">
  <sheetPr codeName="Sheet13"/>
  <dimension ref="A1:L193"/>
  <sheetViews>
    <sheetView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3" s="27"/>
      <c r="H193" s="27"/>
      <c r="I193" s="27"/>
      <c r="J193" s="27"/>
      <c r="K193" s="27"/>
      <c r="L193" s="27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4D26-61E1-4BDF-A2C3-51CA8FA7D962}">
  <sheetPr codeName="Sheet14"/>
  <dimension ref="A1:L193"/>
  <sheetViews>
    <sheetView workbookViewId="0">
      <pane ySplit="1" topLeftCell="A2" activePane="bottomLeft" state="frozen"/>
      <selection pane="bottomLeft" activeCell="G13" sqref="G13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1D5-456C-4601-9D57-E07560AE5D8A}">
  <sheetPr codeName="Sheet15"/>
  <dimension ref="A1:L193"/>
  <sheetViews>
    <sheetView workbookViewId="0">
      <pane ySplit="1" topLeftCell="A2" activePane="bottomLeft" state="frozen"/>
      <selection pane="bottomLeft" activeCell="G2" sqref="G2:L193"/>
    </sheetView>
  </sheetViews>
  <sheetFormatPr defaultRowHeight="18" x14ac:dyDescent="0.35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style="22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" s="27"/>
      <c r="H2" s="27"/>
      <c r="I2" s="27"/>
      <c r="J2" s="27"/>
      <c r="K2" s="27"/>
      <c r="L2" s="27"/>
    </row>
    <row r="3" spans="1:12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" s="27"/>
      <c r="H3" s="27"/>
      <c r="I3" s="27"/>
      <c r="J3" s="27"/>
      <c r="K3" s="27"/>
      <c r="L3" s="27"/>
    </row>
    <row r="4" spans="1:12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" s="27"/>
      <c r="H4" s="27"/>
      <c r="I4" s="27"/>
      <c r="J4" s="27"/>
      <c r="K4" s="27"/>
      <c r="L4" s="27"/>
    </row>
    <row r="5" spans="1:12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" s="27"/>
      <c r="H5" s="27"/>
      <c r="I5" s="27"/>
      <c r="J5" s="27"/>
      <c r="K5" s="27"/>
      <c r="L5" s="27"/>
    </row>
    <row r="6" spans="1:12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" s="27"/>
      <c r="H6" s="27"/>
      <c r="I6" s="27"/>
      <c r="J6" s="27"/>
      <c r="K6" s="27"/>
      <c r="L6" s="27"/>
    </row>
    <row r="7" spans="1:12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" s="27"/>
      <c r="H7" s="27"/>
      <c r="I7" s="27"/>
      <c r="J7" s="27"/>
      <c r="K7" s="27"/>
      <c r="L7" s="27"/>
    </row>
    <row r="8" spans="1:12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" s="27"/>
      <c r="H8" s="27"/>
      <c r="I8" s="27"/>
      <c r="J8" s="27"/>
      <c r="K8" s="27"/>
      <c r="L8" s="27"/>
    </row>
    <row r="9" spans="1:12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" s="27"/>
      <c r="H9" s="27"/>
      <c r="I9" s="27"/>
      <c r="J9" s="27"/>
      <c r="K9" s="27"/>
      <c r="L9" s="27"/>
    </row>
    <row r="10" spans="1:12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" s="27"/>
      <c r="H10" s="27"/>
      <c r="I10" s="27"/>
      <c r="J10" s="27"/>
      <c r="K10" s="27"/>
      <c r="L10" s="27"/>
    </row>
    <row r="11" spans="1:12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" s="27"/>
      <c r="H11" s="27"/>
      <c r="I11" s="27"/>
      <c r="J11" s="27"/>
      <c r="K11" s="27"/>
      <c r="L11" s="27"/>
    </row>
    <row r="12" spans="1:12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" s="27"/>
      <c r="H12" s="27"/>
      <c r="I12" s="27"/>
      <c r="J12" s="27"/>
      <c r="K12" s="27"/>
      <c r="L12" s="27"/>
    </row>
    <row r="13" spans="1:12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" s="27"/>
      <c r="H13" s="27"/>
      <c r="I13" s="27"/>
      <c r="J13" s="27"/>
      <c r="K13" s="27"/>
      <c r="L13" s="27"/>
    </row>
    <row r="14" spans="1:12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" s="27"/>
      <c r="H14" s="27"/>
      <c r="I14" s="27"/>
      <c r="J14" s="27"/>
      <c r="K14" s="27"/>
      <c r="L14" s="27"/>
    </row>
    <row r="15" spans="1:12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" s="27"/>
      <c r="H15" s="27"/>
      <c r="I15" s="27"/>
      <c r="J15" s="27"/>
      <c r="K15" s="27"/>
      <c r="L15" s="27"/>
    </row>
    <row r="16" spans="1:12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" s="27"/>
      <c r="H16" s="27"/>
      <c r="I16" s="27"/>
      <c r="J16" s="27"/>
      <c r="K16" s="27"/>
      <c r="L16" s="27"/>
    </row>
    <row r="17" spans="1:12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" s="27"/>
      <c r="H17" s="27"/>
      <c r="I17" s="27"/>
      <c r="J17" s="27"/>
      <c r="K17" s="27"/>
      <c r="L17" s="27"/>
    </row>
    <row r="18" spans="1:12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" s="27"/>
      <c r="H18" s="27"/>
      <c r="I18" s="27"/>
      <c r="J18" s="27"/>
      <c r="K18" s="27"/>
      <c r="L18" s="27"/>
    </row>
    <row r="19" spans="1:12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" s="27"/>
      <c r="H19" s="27"/>
      <c r="I19" s="27"/>
      <c r="J19" s="27"/>
      <c r="K19" s="27"/>
      <c r="L19" s="27"/>
    </row>
    <row r="20" spans="1:12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0" s="27"/>
      <c r="H20" s="27"/>
      <c r="I20" s="27"/>
      <c r="J20" s="27"/>
      <c r="K20" s="27"/>
      <c r="L20" s="27"/>
    </row>
    <row r="21" spans="1:12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1" s="27"/>
      <c r="H21" s="27"/>
      <c r="I21" s="27"/>
      <c r="J21" s="27"/>
      <c r="K21" s="27"/>
      <c r="L21" s="27"/>
    </row>
    <row r="22" spans="1:12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2" s="27"/>
      <c r="H22" s="27"/>
      <c r="I22" s="27"/>
      <c r="J22" s="27"/>
      <c r="K22" s="27"/>
      <c r="L22" s="27"/>
    </row>
    <row r="23" spans="1:12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3" s="27"/>
      <c r="H23" s="27"/>
      <c r="I23" s="27"/>
      <c r="J23" s="27"/>
      <c r="K23" s="27"/>
      <c r="L23" s="27"/>
    </row>
    <row r="24" spans="1:12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4" s="27"/>
      <c r="H24" s="27"/>
      <c r="I24" s="27"/>
      <c r="J24" s="27"/>
      <c r="K24" s="27"/>
      <c r="L24" s="27"/>
    </row>
    <row r="25" spans="1:12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5" s="27"/>
      <c r="H25" s="27"/>
      <c r="I25" s="27"/>
      <c r="J25" s="27"/>
      <c r="K25" s="27"/>
      <c r="L25" s="27"/>
    </row>
    <row r="26" spans="1:12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6" s="27"/>
      <c r="H26" s="27"/>
      <c r="I26" s="27"/>
      <c r="J26" s="27"/>
      <c r="K26" s="27"/>
      <c r="L26" s="27"/>
    </row>
    <row r="27" spans="1:12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7" s="27"/>
      <c r="H27" s="27"/>
      <c r="I27" s="27"/>
      <c r="J27" s="27"/>
      <c r="K27" s="27"/>
      <c r="L27" s="27"/>
    </row>
    <row r="28" spans="1:12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8" s="27"/>
      <c r="H28" s="27"/>
      <c r="I28" s="27"/>
      <c r="J28" s="27"/>
      <c r="K28" s="27"/>
      <c r="L28" s="27"/>
    </row>
    <row r="29" spans="1:12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9" s="27"/>
      <c r="H29" s="27"/>
      <c r="I29" s="27"/>
      <c r="J29" s="27"/>
      <c r="K29" s="27"/>
      <c r="L29" s="27"/>
    </row>
    <row r="30" spans="1:12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0" s="27"/>
      <c r="H30" s="27"/>
      <c r="I30" s="27"/>
      <c r="J30" s="27"/>
      <c r="K30" s="27"/>
      <c r="L30" s="27"/>
    </row>
    <row r="31" spans="1:12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1" s="27"/>
      <c r="H31" s="27"/>
      <c r="I31" s="27"/>
      <c r="J31" s="27"/>
      <c r="K31" s="27"/>
      <c r="L31" s="27"/>
    </row>
    <row r="32" spans="1:12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2" s="27"/>
      <c r="H32" s="27"/>
      <c r="I32" s="27"/>
      <c r="J32" s="27"/>
      <c r="K32" s="27"/>
      <c r="L32" s="27"/>
    </row>
    <row r="33" spans="1:12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3" s="27"/>
      <c r="H33" s="27"/>
      <c r="I33" s="27"/>
      <c r="J33" s="27"/>
      <c r="K33" s="27"/>
      <c r="L33" s="27"/>
    </row>
    <row r="34" spans="1:12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4" s="27"/>
      <c r="H34" s="27"/>
      <c r="I34" s="27"/>
      <c r="J34" s="27"/>
      <c r="K34" s="27"/>
      <c r="L34" s="27"/>
    </row>
    <row r="35" spans="1:12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5" s="27"/>
      <c r="H35" s="27"/>
      <c r="I35" s="27"/>
      <c r="J35" s="27"/>
      <c r="K35" s="27"/>
      <c r="L35" s="27"/>
    </row>
    <row r="36" spans="1:12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6" s="27"/>
      <c r="H36" s="27"/>
      <c r="I36" s="27"/>
      <c r="J36" s="27"/>
      <c r="K36" s="27"/>
      <c r="L36" s="27"/>
    </row>
    <row r="37" spans="1:12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7" s="27"/>
      <c r="H37" s="27"/>
      <c r="I37" s="27"/>
      <c r="J37" s="27"/>
      <c r="K37" s="27"/>
      <c r="L37" s="27"/>
    </row>
    <row r="38" spans="1:12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8" s="27"/>
      <c r="H38" s="27"/>
      <c r="I38" s="27"/>
      <c r="J38" s="27"/>
      <c r="K38" s="27"/>
      <c r="L38" s="27"/>
    </row>
    <row r="39" spans="1:12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9" s="27"/>
      <c r="H39" s="27"/>
      <c r="I39" s="27"/>
      <c r="J39" s="27"/>
      <c r="K39" s="27"/>
      <c r="L39" s="27"/>
    </row>
    <row r="40" spans="1:12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0" s="27"/>
      <c r="H40" s="27"/>
      <c r="I40" s="27"/>
      <c r="J40" s="27"/>
      <c r="K40" s="27"/>
      <c r="L40" s="27"/>
    </row>
    <row r="41" spans="1:12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1" s="27"/>
      <c r="H41" s="27"/>
      <c r="I41" s="27"/>
      <c r="J41" s="27"/>
      <c r="K41" s="27"/>
      <c r="L41" s="27"/>
    </row>
    <row r="42" spans="1:12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2" s="27"/>
      <c r="H42" s="27"/>
      <c r="I42" s="27"/>
      <c r="J42" s="27"/>
      <c r="K42" s="27"/>
      <c r="L42" s="27"/>
    </row>
    <row r="43" spans="1:12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3" s="27"/>
      <c r="H43" s="27"/>
      <c r="I43" s="27"/>
      <c r="J43" s="27"/>
      <c r="K43" s="27"/>
      <c r="L43" s="27"/>
    </row>
    <row r="44" spans="1:12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4" s="27"/>
      <c r="H44" s="27"/>
      <c r="I44" s="27"/>
      <c r="J44" s="27"/>
      <c r="K44" s="27"/>
      <c r="L44" s="27"/>
    </row>
    <row r="45" spans="1:12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5" s="27"/>
      <c r="H45" s="27"/>
      <c r="I45" s="27"/>
      <c r="J45" s="27"/>
      <c r="K45" s="27"/>
      <c r="L45" s="27"/>
    </row>
    <row r="46" spans="1:12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6" s="27"/>
      <c r="H46" s="27"/>
      <c r="I46" s="27"/>
      <c r="J46" s="27"/>
      <c r="K46" s="27"/>
      <c r="L46" s="27"/>
    </row>
    <row r="47" spans="1:12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7" s="27"/>
      <c r="H47" s="27"/>
      <c r="I47" s="27"/>
      <c r="J47" s="27"/>
      <c r="K47" s="27"/>
      <c r="L47" s="27"/>
    </row>
    <row r="48" spans="1:12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8" s="27"/>
      <c r="H48" s="27"/>
      <c r="I48" s="27"/>
      <c r="J48" s="27"/>
      <c r="K48" s="27"/>
      <c r="L48" s="27"/>
    </row>
    <row r="49" spans="1:12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9" s="27"/>
      <c r="H49" s="27"/>
      <c r="I49" s="27"/>
      <c r="J49" s="27"/>
      <c r="K49" s="27"/>
      <c r="L49" s="27"/>
    </row>
    <row r="50" spans="1:12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0" s="27"/>
      <c r="H50" s="27"/>
      <c r="I50" s="27"/>
      <c r="J50" s="27"/>
      <c r="K50" s="27"/>
      <c r="L50" s="27"/>
    </row>
    <row r="51" spans="1:12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1" s="27"/>
      <c r="H51" s="27"/>
      <c r="I51" s="27"/>
      <c r="J51" s="27"/>
      <c r="K51" s="27"/>
      <c r="L51" s="27"/>
    </row>
    <row r="52" spans="1:12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2" s="27"/>
      <c r="H52" s="27"/>
      <c r="I52" s="27"/>
      <c r="J52" s="27"/>
      <c r="K52" s="27"/>
      <c r="L52" s="27"/>
    </row>
    <row r="53" spans="1:12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3" s="27"/>
      <c r="H53" s="27"/>
      <c r="I53" s="27"/>
      <c r="J53" s="27"/>
      <c r="K53" s="27"/>
      <c r="L53" s="27"/>
    </row>
    <row r="54" spans="1:12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4" s="27"/>
      <c r="H54" s="27"/>
      <c r="I54" s="27"/>
      <c r="J54" s="27"/>
      <c r="K54" s="27"/>
      <c r="L54" s="27"/>
    </row>
    <row r="55" spans="1:12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5" s="27"/>
      <c r="H55" s="27"/>
      <c r="I55" s="27"/>
      <c r="J55" s="27"/>
      <c r="K55" s="27"/>
      <c r="L55" s="27"/>
    </row>
    <row r="56" spans="1:12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6" s="27"/>
      <c r="H56" s="27"/>
      <c r="I56" s="27"/>
      <c r="J56" s="27"/>
      <c r="K56" s="27"/>
      <c r="L56" s="27"/>
    </row>
    <row r="57" spans="1:12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7" s="27"/>
      <c r="H57" s="27"/>
      <c r="I57" s="27"/>
      <c r="J57" s="27"/>
      <c r="K57" s="27"/>
      <c r="L57" s="27"/>
    </row>
    <row r="58" spans="1:12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8" s="27"/>
      <c r="H58" s="27"/>
      <c r="I58" s="27"/>
      <c r="J58" s="27"/>
      <c r="K58" s="27"/>
      <c r="L58" s="27"/>
    </row>
    <row r="59" spans="1:12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9" s="27"/>
      <c r="H59" s="27"/>
      <c r="I59" s="27"/>
      <c r="J59" s="27"/>
      <c r="K59" s="27"/>
      <c r="L59" s="27"/>
    </row>
    <row r="60" spans="1:12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0" s="27"/>
      <c r="H60" s="27"/>
      <c r="I60" s="27"/>
      <c r="J60" s="27"/>
      <c r="K60" s="27"/>
      <c r="L60" s="27"/>
    </row>
    <row r="61" spans="1:12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1" s="27"/>
      <c r="H61" s="27"/>
      <c r="I61" s="27"/>
      <c r="J61" s="27"/>
      <c r="K61" s="27"/>
      <c r="L61" s="27"/>
    </row>
    <row r="62" spans="1:12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2" s="27"/>
      <c r="H62" s="27"/>
      <c r="I62" s="27"/>
      <c r="J62" s="27"/>
      <c r="K62" s="27"/>
      <c r="L62" s="27"/>
    </row>
    <row r="63" spans="1:12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3" s="27"/>
      <c r="H63" s="27"/>
      <c r="I63" s="27"/>
      <c r="J63" s="27"/>
      <c r="K63" s="27"/>
      <c r="L63" s="27"/>
    </row>
    <row r="64" spans="1:12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4" s="27"/>
      <c r="H64" s="27"/>
      <c r="I64" s="27"/>
      <c r="J64" s="27"/>
      <c r="K64" s="27"/>
      <c r="L64" s="27"/>
    </row>
    <row r="65" spans="1:12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5" s="27"/>
      <c r="H65" s="27"/>
      <c r="I65" s="27"/>
      <c r="J65" s="27"/>
      <c r="K65" s="27"/>
      <c r="L65" s="27"/>
    </row>
    <row r="66" spans="1:12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6" s="27"/>
      <c r="H66" s="27"/>
      <c r="I66" s="27"/>
      <c r="J66" s="27"/>
      <c r="K66" s="27"/>
      <c r="L66" s="27"/>
    </row>
    <row r="67" spans="1:12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7" s="27"/>
      <c r="H67" s="27"/>
      <c r="I67" s="27"/>
      <c r="J67" s="27"/>
      <c r="K67" s="27"/>
      <c r="L67" s="27"/>
    </row>
    <row r="68" spans="1:12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8" s="27"/>
      <c r="H68" s="27"/>
      <c r="I68" s="27"/>
      <c r="J68" s="27"/>
      <c r="K68" s="27"/>
      <c r="L68" s="27"/>
    </row>
    <row r="69" spans="1:12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9" s="27"/>
      <c r="H69" s="27"/>
      <c r="I69" s="27"/>
      <c r="J69" s="27"/>
      <c r="K69" s="27"/>
      <c r="L69" s="27"/>
    </row>
    <row r="70" spans="1:12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0" s="27"/>
      <c r="H70" s="27"/>
      <c r="I70" s="27"/>
      <c r="J70" s="27"/>
      <c r="K70" s="27"/>
      <c r="L70" s="27"/>
    </row>
    <row r="71" spans="1:12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1" s="27"/>
      <c r="H71" s="27"/>
      <c r="I71" s="27"/>
      <c r="J71" s="27"/>
      <c r="K71" s="27"/>
      <c r="L71" s="27"/>
    </row>
    <row r="72" spans="1:12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2" s="27"/>
      <c r="H72" s="27"/>
      <c r="I72" s="27"/>
      <c r="J72" s="27"/>
      <c r="K72" s="27"/>
      <c r="L72" s="27"/>
    </row>
    <row r="73" spans="1:12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3" s="27"/>
      <c r="H73" s="27"/>
      <c r="I73" s="27"/>
      <c r="J73" s="27"/>
      <c r="K73" s="27"/>
      <c r="L73" s="27"/>
    </row>
    <row r="74" spans="1:12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4" s="27"/>
      <c r="H74" s="27"/>
      <c r="I74" s="27"/>
      <c r="J74" s="27"/>
      <c r="K74" s="27"/>
      <c r="L74" s="27"/>
    </row>
    <row r="75" spans="1:12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5" s="27"/>
      <c r="H75" s="27"/>
      <c r="I75" s="27"/>
      <c r="J75" s="27"/>
      <c r="K75" s="27"/>
      <c r="L75" s="27"/>
    </row>
    <row r="76" spans="1:12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6" s="27"/>
      <c r="H76" s="27"/>
      <c r="I76" s="27"/>
      <c r="J76" s="27"/>
      <c r="K76" s="27"/>
      <c r="L76" s="27"/>
    </row>
    <row r="77" spans="1:12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7" s="27"/>
      <c r="H77" s="27"/>
      <c r="I77" s="27"/>
      <c r="J77" s="27"/>
      <c r="K77" s="27"/>
      <c r="L77" s="27"/>
    </row>
    <row r="78" spans="1:12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8" s="27"/>
      <c r="H78" s="27"/>
      <c r="I78" s="27"/>
      <c r="J78" s="27"/>
      <c r="K78" s="27"/>
      <c r="L78" s="27"/>
    </row>
    <row r="79" spans="1:12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9" s="27"/>
      <c r="H79" s="27"/>
      <c r="I79" s="27"/>
      <c r="J79" s="27"/>
      <c r="K79" s="27"/>
      <c r="L79" s="27"/>
    </row>
    <row r="80" spans="1:12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0" s="27"/>
      <c r="H80" s="27"/>
      <c r="I80" s="27"/>
      <c r="J80" s="27"/>
      <c r="K80" s="27"/>
      <c r="L80" s="27"/>
    </row>
    <row r="81" spans="1:12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1" s="27"/>
      <c r="H81" s="27"/>
      <c r="I81" s="27"/>
      <c r="J81" s="27"/>
      <c r="K81" s="27"/>
      <c r="L81" s="27"/>
    </row>
    <row r="82" spans="1:12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2" s="27"/>
      <c r="H82" s="27"/>
      <c r="I82" s="27"/>
      <c r="J82" s="27"/>
      <c r="K82" s="27"/>
      <c r="L82" s="27"/>
    </row>
    <row r="83" spans="1:12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3" s="27"/>
      <c r="H83" s="27"/>
      <c r="I83" s="27"/>
      <c r="J83" s="27"/>
      <c r="K83" s="27"/>
      <c r="L83" s="27"/>
    </row>
    <row r="84" spans="1:12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4" s="27"/>
      <c r="H84" s="27"/>
      <c r="I84" s="27"/>
      <c r="J84" s="27"/>
      <c r="K84" s="27"/>
      <c r="L84" s="27"/>
    </row>
    <row r="85" spans="1:12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5" s="27"/>
      <c r="H85" s="27"/>
      <c r="I85" s="27"/>
      <c r="J85" s="27"/>
      <c r="K85" s="27"/>
      <c r="L85" s="27"/>
    </row>
    <row r="86" spans="1:12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6" s="27"/>
      <c r="H86" s="27"/>
      <c r="I86" s="27"/>
      <c r="J86" s="27"/>
      <c r="K86" s="27"/>
      <c r="L86" s="27"/>
    </row>
    <row r="87" spans="1:12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7" s="27"/>
      <c r="H87" s="27"/>
      <c r="I87" s="27"/>
      <c r="J87" s="27"/>
      <c r="K87" s="27"/>
      <c r="L87" s="27"/>
    </row>
    <row r="88" spans="1:12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8" s="27"/>
      <c r="H88" s="27"/>
      <c r="I88" s="27"/>
      <c r="J88" s="27"/>
      <c r="K88" s="27"/>
      <c r="L88" s="27"/>
    </row>
    <row r="89" spans="1:12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9" s="27"/>
      <c r="H89" s="27"/>
      <c r="I89" s="27"/>
      <c r="J89" s="27"/>
      <c r="K89" s="27"/>
      <c r="L89" s="27"/>
    </row>
    <row r="90" spans="1:12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0" s="27"/>
      <c r="H90" s="27"/>
      <c r="I90" s="27"/>
      <c r="J90" s="27"/>
      <c r="K90" s="27"/>
      <c r="L90" s="27"/>
    </row>
    <row r="91" spans="1:12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1" s="27"/>
      <c r="H91" s="27"/>
      <c r="I91" s="27"/>
      <c r="J91" s="27"/>
      <c r="K91" s="27"/>
      <c r="L91" s="27"/>
    </row>
    <row r="92" spans="1:12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2" s="27"/>
      <c r="H92" s="27"/>
      <c r="I92" s="27"/>
      <c r="J92" s="27"/>
      <c r="K92" s="27"/>
      <c r="L92" s="27"/>
    </row>
    <row r="93" spans="1:12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3" s="27"/>
      <c r="H93" s="27"/>
      <c r="I93" s="27"/>
      <c r="J93" s="27"/>
      <c r="K93" s="27"/>
      <c r="L93" s="27"/>
    </row>
    <row r="94" spans="1:12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4" s="27"/>
      <c r="H94" s="27"/>
      <c r="I94" s="27"/>
      <c r="J94" s="27"/>
      <c r="K94" s="27"/>
      <c r="L94" s="27"/>
    </row>
    <row r="95" spans="1:12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5" s="27"/>
      <c r="H95" s="27"/>
      <c r="I95" s="27"/>
      <c r="J95" s="27"/>
      <c r="K95" s="27"/>
      <c r="L95" s="27"/>
    </row>
    <row r="96" spans="1:12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6" s="27"/>
      <c r="H96" s="27"/>
      <c r="I96" s="27"/>
      <c r="J96" s="27"/>
      <c r="K96" s="27"/>
      <c r="L96" s="27"/>
    </row>
    <row r="97" spans="1:12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7" s="27"/>
      <c r="H97" s="27"/>
      <c r="I97" s="27"/>
      <c r="J97" s="27"/>
      <c r="K97" s="27"/>
      <c r="L97" s="27"/>
    </row>
    <row r="98" spans="1:12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8" s="27"/>
      <c r="H98" s="27"/>
      <c r="I98" s="27"/>
      <c r="J98" s="27"/>
      <c r="K98" s="27"/>
      <c r="L98" s="27"/>
    </row>
    <row r="99" spans="1:12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9" s="27"/>
      <c r="H99" s="27"/>
      <c r="I99" s="27"/>
      <c r="J99" s="27"/>
      <c r="K99" s="27"/>
      <c r="L99" s="27"/>
    </row>
    <row r="100" spans="1:12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0C5D-2BAF-40DB-9147-9FECFE57CEDE}">
  <sheetPr codeName="Sheet16"/>
  <dimension ref="A1:L193"/>
  <sheetViews>
    <sheetView workbookViewId="0">
      <pane ySplit="176" topLeftCell="A177" activePane="bottomLeft" state="frozen"/>
      <selection pane="bottomLeft" activeCell="G177" sqref="G177:L187"/>
    </sheetView>
  </sheetViews>
  <sheetFormatPr defaultRowHeight="14.4" x14ac:dyDescent="0.3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" hidden="1" x14ac:dyDescent="0.3">
      <c r="A2" s="9">
        <v>9</v>
      </c>
      <c r="B2" s="9" t="s">
        <v>166</v>
      </c>
      <c r="C2" s="9" t="s">
        <v>156</v>
      </c>
      <c r="D2" s="9" t="s">
        <v>167</v>
      </c>
      <c r="E2" s="9">
        <v>6</v>
      </c>
      <c r="F2" s="29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" s="27"/>
      <c r="H2" s="27"/>
      <c r="I2" s="27"/>
      <c r="J2" s="27"/>
      <c r="K2" s="27"/>
      <c r="L2" s="27"/>
    </row>
    <row r="3" spans="1:12" ht="18" hidden="1" x14ac:dyDescent="0.35">
      <c r="A3" s="9">
        <v>16</v>
      </c>
      <c r="B3" s="9" t="s">
        <v>158</v>
      </c>
      <c r="C3" s="9" t="s">
        <v>156</v>
      </c>
      <c r="D3" s="9" t="s">
        <v>160</v>
      </c>
      <c r="E3" s="9">
        <v>6</v>
      </c>
      <c r="F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" s="27"/>
      <c r="H3" s="27"/>
      <c r="I3" s="27"/>
      <c r="J3" s="27"/>
      <c r="K3" s="27"/>
      <c r="L3" s="27"/>
    </row>
    <row r="4" spans="1:12" ht="18" hidden="1" x14ac:dyDescent="0.35">
      <c r="A4" s="9">
        <v>30</v>
      </c>
      <c r="B4" s="9" t="s">
        <v>171</v>
      </c>
      <c r="C4" s="9" t="s">
        <v>156</v>
      </c>
      <c r="D4" s="9" t="s">
        <v>176</v>
      </c>
      <c r="E4" s="9">
        <v>6</v>
      </c>
      <c r="F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" s="27"/>
      <c r="H4" s="27"/>
      <c r="I4" s="27"/>
      <c r="J4" s="27"/>
      <c r="K4" s="27"/>
      <c r="L4" s="27"/>
    </row>
    <row r="5" spans="1:12" ht="18" hidden="1" x14ac:dyDescent="0.35">
      <c r="A5" s="9">
        <v>33</v>
      </c>
      <c r="B5" s="9" t="s">
        <v>215</v>
      </c>
      <c r="C5" s="9" t="s">
        <v>156</v>
      </c>
      <c r="D5" s="9" t="s">
        <v>223</v>
      </c>
      <c r="E5" s="9">
        <v>12</v>
      </c>
      <c r="F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" s="27"/>
      <c r="H5" s="27"/>
      <c r="I5" s="27"/>
      <c r="J5" s="27"/>
      <c r="K5" s="27"/>
      <c r="L5" s="27"/>
    </row>
    <row r="6" spans="1:12" ht="18" hidden="1" x14ac:dyDescent="0.35">
      <c r="A6" s="9">
        <v>53</v>
      </c>
      <c r="B6" s="9" t="s">
        <v>166</v>
      </c>
      <c r="C6" s="9" t="s">
        <v>156</v>
      </c>
      <c r="D6" s="9" t="s">
        <v>169</v>
      </c>
      <c r="E6" s="9">
        <v>6</v>
      </c>
      <c r="F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" s="27"/>
      <c r="H6" s="27"/>
      <c r="I6" s="27"/>
      <c r="J6" s="27"/>
      <c r="K6" s="27"/>
      <c r="L6" s="27"/>
    </row>
    <row r="7" spans="1:12" ht="18" hidden="1" x14ac:dyDescent="0.35">
      <c r="A7" s="9">
        <v>66</v>
      </c>
      <c r="B7" s="9" t="s">
        <v>178</v>
      </c>
      <c r="C7" s="9" t="s">
        <v>156</v>
      </c>
      <c r="D7" s="9" t="s">
        <v>187</v>
      </c>
      <c r="E7" s="9">
        <v>6</v>
      </c>
      <c r="F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" s="27"/>
      <c r="H7" s="27"/>
      <c r="I7" s="27"/>
      <c r="J7" s="27"/>
      <c r="K7" s="27"/>
      <c r="L7" s="27"/>
    </row>
    <row r="8" spans="1:12" ht="18" hidden="1" x14ac:dyDescent="0.35">
      <c r="A8" s="9">
        <v>90</v>
      </c>
      <c r="B8" s="9" t="s">
        <v>155</v>
      </c>
      <c r="C8" s="9" t="s">
        <v>156</v>
      </c>
      <c r="D8" s="9" t="s">
        <v>157</v>
      </c>
      <c r="E8" s="9">
        <v>6</v>
      </c>
      <c r="F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" s="27"/>
      <c r="H8" s="27"/>
      <c r="I8" s="27"/>
      <c r="J8" s="27"/>
      <c r="K8" s="27"/>
      <c r="L8" s="27"/>
    </row>
    <row r="9" spans="1:12" ht="18" hidden="1" x14ac:dyDescent="0.35">
      <c r="A9" s="9">
        <v>123</v>
      </c>
      <c r="B9" s="9" t="s">
        <v>44</v>
      </c>
      <c r="C9" s="9" t="s">
        <v>45</v>
      </c>
      <c r="D9" s="9" t="s">
        <v>46</v>
      </c>
      <c r="E9" s="9">
        <v>6</v>
      </c>
      <c r="F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" s="27"/>
      <c r="H9" s="27"/>
      <c r="I9" s="27"/>
      <c r="J9" s="27"/>
      <c r="K9" s="27"/>
      <c r="L9" s="27"/>
    </row>
    <row r="10" spans="1:12" ht="18" hidden="1" x14ac:dyDescent="0.35">
      <c r="A10" s="9">
        <v>134</v>
      </c>
      <c r="B10" s="9" t="s">
        <v>44</v>
      </c>
      <c r="C10" s="9" t="s">
        <v>45</v>
      </c>
      <c r="D10" s="9" t="s">
        <v>49</v>
      </c>
      <c r="E10" s="9">
        <v>6</v>
      </c>
      <c r="F1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" s="27"/>
      <c r="H10" s="27"/>
      <c r="I10" s="27"/>
      <c r="J10" s="27"/>
      <c r="K10" s="27"/>
      <c r="L10" s="27"/>
    </row>
    <row r="11" spans="1:12" ht="18" hidden="1" x14ac:dyDescent="0.35">
      <c r="A11" s="9">
        <v>138</v>
      </c>
      <c r="B11" s="9" t="s">
        <v>44</v>
      </c>
      <c r="C11" s="9" t="s">
        <v>45</v>
      </c>
      <c r="D11" s="9" t="s">
        <v>48</v>
      </c>
      <c r="E11" s="9">
        <v>6</v>
      </c>
      <c r="F1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" s="27"/>
      <c r="H11" s="27"/>
      <c r="I11" s="27"/>
      <c r="J11" s="27"/>
      <c r="K11" s="27"/>
      <c r="L11" s="27"/>
    </row>
    <row r="12" spans="1:12" ht="18" hidden="1" x14ac:dyDescent="0.35">
      <c r="A12" s="9">
        <v>186</v>
      </c>
      <c r="B12" s="9" t="s">
        <v>139</v>
      </c>
      <c r="C12" s="9" t="s">
        <v>136</v>
      </c>
      <c r="D12" s="9" t="s">
        <v>142</v>
      </c>
      <c r="E12" s="9">
        <v>6</v>
      </c>
      <c r="F1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" s="27"/>
      <c r="H12" s="27"/>
      <c r="I12" s="27"/>
      <c r="J12" s="27"/>
      <c r="K12" s="27"/>
      <c r="L12" s="27"/>
    </row>
    <row r="13" spans="1:12" ht="18" hidden="1" x14ac:dyDescent="0.35">
      <c r="A13" s="9">
        <v>191</v>
      </c>
      <c r="B13" s="9" t="s">
        <v>33</v>
      </c>
      <c r="C13" s="9" t="s">
        <v>24</v>
      </c>
      <c r="D13" s="9" t="s">
        <v>35</v>
      </c>
      <c r="E13" s="9">
        <v>24</v>
      </c>
      <c r="F1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" s="27"/>
      <c r="H13" s="27"/>
      <c r="I13" s="27"/>
      <c r="J13" s="27"/>
      <c r="K13" s="27"/>
      <c r="L13" s="27"/>
    </row>
    <row r="14" spans="1:12" ht="18" hidden="1" x14ac:dyDescent="0.35">
      <c r="A14" s="9">
        <v>232</v>
      </c>
      <c r="B14" s="9" t="s">
        <v>53</v>
      </c>
      <c r="C14" s="9" t="s">
        <v>54</v>
      </c>
      <c r="D14" s="9" t="s">
        <v>59</v>
      </c>
      <c r="E14" s="9">
        <v>8</v>
      </c>
      <c r="F1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" s="27"/>
      <c r="H14" s="27"/>
      <c r="I14" s="27"/>
      <c r="J14" s="27"/>
      <c r="K14" s="27"/>
      <c r="L14" s="27"/>
    </row>
    <row r="15" spans="1:12" ht="18" hidden="1" x14ac:dyDescent="0.35">
      <c r="A15" s="9">
        <v>286</v>
      </c>
      <c r="B15" s="9" t="s">
        <v>178</v>
      </c>
      <c r="C15" s="9" t="s">
        <v>156</v>
      </c>
      <c r="D15" s="9" t="s">
        <v>188</v>
      </c>
      <c r="E15" s="9">
        <v>6</v>
      </c>
      <c r="F1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" s="27"/>
      <c r="H15" s="27"/>
      <c r="I15" s="27"/>
      <c r="J15" s="27"/>
      <c r="K15" s="27"/>
      <c r="L15" s="27"/>
    </row>
    <row r="16" spans="1:12" ht="18" hidden="1" x14ac:dyDescent="0.35">
      <c r="A16" s="9">
        <v>383</v>
      </c>
      <c r="B16" s="9" t="s">
        <v>33</v>
      </c>
      <c r="C16" s="9" t="s">
        <v>24</v>
      </c>
      <c r="D16" s="9" t="s">
        <v>34</v>
      </c>
      <c r="E16" s="9">
        <v>24</v>
      </c>
      <c r="F1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" s="27"/>
      <c r="H16" s="27"/>
      <c r="I16" s="27"/>
      <c r="J16" s="27"/>
      <c r="K16" s="27"/>
      <c r="L16" s="27"/>
    </row>
    <row r="17" spans="1:12" ht="18" hidden="1" x14ac:dyDescent="0.35">
      <c r="A17" s="9">
        <v>399</v>
      </c>
      <c r="B17" s="9" t="s">
        <v>198</v>
      </c>
      <c r="C17" s="9" t="s">
        <v>156</v>
      </c>
      <c r="D17" s="9" t="s">
        <v>202</v>
      </c>
      <c r="E17" s="9">
        <v>6</v>
      </c>
      <c r="F1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" s="27"/>
      <c r="H17" s="27"/>
      <c r="I17" s="27"/>
      <c r="J17" s="27"/>
      <c r="K17" s="27"/>
      <c r="L17" s="27"/>
    </row>
    <row r="18" spans="1:12" ht="18" hidden="1" x14ac:dyDescent="0.35">
      <c r="A18" s="9">
        <v>436</v>
      </c>
      <c r="B18" s="9" t="s">
        <v>166</v>
      </c>
      <c r="C18" s="9" t="s">
        <v>156</v>
      </c>
      <c r="D18" s="9" t="s">
        <v>168</v>
      </c>
      <c r="E18" s="9">
        <v>6</v>
      </c>
      <c r="F1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" s="27"/>
      <c r="H18" s="27"/>
      <c r="I18" s="27"/>
      <c r="J18" s="27"/>
      <c r="K18" s="27"/>
      <c r="L18" s="27"/>
    </row>
    <row r="19" spans="1:12" ht="18" hidden="1" x14ac:dyDescent="0.35">
      <c r="A19" s="9">
        <v>474</v>
      </c>
      <c r="B19" s="9" t="s">
        <v>166</v>
      </c>
      <c r="C19" s="9" t="s">
        <v>156</v>
      </c>
      <c r="D19" s="9" t="s">
        <v>170</v>
      </c>
      <c r="E19" s="9">
        <v>6</v>
      </c>
      <c r="F1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" s="27"/>
      <c r="H19" s="27"/>
      <c r="I19" s="27"/>
      <c r="J19" s="27"/>
      <c r="K19" s="27"/>
      <c r="L19" s="27"/>
    </row>
    <row r="20" spans="1:12" ht="18" hidden="1" x14ac:dyDescent="0.35">
      <c r="A20" s="9">
        <v>503</v>
      </c>
      <c r="B20" s="9" t="s">
        <v>178</v>
      </c>
      <c r="C20" s="9" t="s">
        <v>156</v>
      </c>
      <c r="D20" s="9" t="s">
        <v>192</v>
      </c>
      <c r="E20" s="9">
        <v>6</v>
      </c>
      <c r="F2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0" s="27"/>
      <c r="H20" s="27"/>
      <c r="I20" s="27"/>
      <c r="J20" s="27"/>
      <c r="K20" s="27"/>
      <c r="L20" s="27"/>
    </row>
    <row r="21" spans="1:12" ht="18" hidden="1" x14ac:dyDescent="0.35">
      <c r="A21" s="9">
        <v>7197</v>
      </c>
      <c r="B21" s="9" t="s">
        <v>250</v>
      </c>
      <c r="C21" s="9" t="s">
        <v>227</v>
      </c>
      <c r="D21" s="9" t="s">
        <v>257</v>
      </c>
      <c r="E21" s="9">
        <v>12</v>
      </c>
      <c r="F2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1" s="27"/>
      <c r="H21" s="27"/>
      <c r="I21" s="27"/>
      <c r="J21" s="27"/>
      <c r="K21" s="27"/>
      <c r="L21" s="27"/>
    </row>
    <row r="22" spans="1:12" ht="18" hidden="1" x14ac:dyDescent="0.35">
      <c r="A22" s="9">
        <v>9003</v>
      </c>
      <c r="B22" s="9" t="s">
        <v>79</v>
      </c>
      <c r="C22" s="9" t="s">
        <v>54</v>
      </c>
      <c r="D22" s="9" t="s">
        <v>81</v>
      </c>
      <c r="E22" s="9">
        <v>24</v>
      </c>
      <c r="F2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2" s="27"/>
      <c r="H22" s="27"/>
      <c r="I22" s="27"/>
      <c r="J22" s="27"/>
      <c r="K22" s="27"/>
      <c r="L22" s="27"/>
    </row>
    <row r="23" spans="1:12" ht="18" hidden="1" x14ac:dyDescent="0.35">
      <c r="A23" s="9">
        <v>9004</v>
      </c>
      <c r="B23" s="9" t="s">
        <v>79</v>
      </c>
      <c r="C23" s="9" t="s">
        <v>54</v>
      </c>
      <c r="D23" s="9" t="s">
        <v>82</v>
      </c>
      <c r="E23" s="9">
        <v>24</v>
      </c>
      <c r="F2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3" s="27"/>
      <c r="H23" s="27"/>
      <c r="I23" s="27"/>
      <c r="J23" s="27"/>
      <c r="K23" s="27"/>
      <c r="L23" s="27"/>
    </row>
    <row r="24" spans="1:12" ht="18" hidden="1" x14ac:dyDescent="0.35">
      <c r="A24" s="9">
        <v>9350</v>
      </c>
      <c r="B24" s="9" t="s">
        <v>226</v>
      </c>
      <c r="C24" s="9" t="s">
        <v>227</v>
      </c>
      <c r="D24" s="9" t="s">
        <v>230</v>
      </c>
      <c r="E24" s="9">
        <v>12</v>
      </c>
      <c r="F2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4" s="27"/>
      <c r="H24" s="27"/>
      <c r="I24" s="27"/>
      <c r="J24" s="27"/>
      <c r="K24" s="27"/>
      <c r="L24" s="27"/>
    </row>
    <row r="25" spans="1:12" ht="18" hidden="1" x14ac:dyDescent="0.35">
      <c r="A25" s="9">
        <v>12813</v>
      </c>
      <c r="B25" s="9" t="s">
        <v>92</v>
      </c>
      <c r="C25" s="9" t="s">
        <v>54</v>
      </c>
      <c r="D25" s="9" t="s">
        <v>94</v>
      </c>
      <c r="E25" s="9">
        <v>24</v>
      </c>
      <c r="F2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5" s="27"/>
      <c r="H25" s="27"/>
      <c r="I25" s="27"/>
      <c r="J25" s="27"/>
      <c r="K25" s="27"/>
      <c r="L25" s="27"/>
    </row>
    <row r="26" spans="1:12" ht="18" hidden="1" x14ac:dyDescent="0.35">
      <c r="A26" s="9">
        <v>13235</v>
      </c>
      <c r="B26" s="9" t="s">
        <v>158</v>
      </c>
      <c r="C26" s="9" t="s">
        <v>156</v>
      </c>
      <c r="D26" s="9" t="s">
        <v>161</v>
      </c>
      <c r="E26" s="9">
        <v>6</v>
      </c>
      <c r="F2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6" s="27"/>
      <c r="H26" s="27"/>
      <c r="I26" s="27"/>
      <c r="J26" s="27"/>
      <c r="K26" s="27"/>
      <c r="L26" s="27"/>
    </row>
    <row r="27" spans="1:12" ht="18" hidden="1" x14ac:dyDescent="0.35">
      <c r="A27" s="9">
        <v>13247</v>
      </c>
      <c r="B27" s="9" t="s">
        <v>171</v>
      </c>
      <c r="C27" s="9" t="s">
        <v>156</v>
      </c>
      <c r="D27" s="9" t="s">
        <v>173</v>
      </c>
      <c r="E27" s="9">
        <v>6</v>
      </c>
      <c r="F2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7" s="27"/>
      <c r="H27" s="27"/>
      <c r="I27" s="27"/>
      <c r="J27" s="27"/>
      <c r="K27" s="27"/>
      <c r="L27" s="27"/>
    </row>
    <row r="28" spans="1:12" ht="18" hidden="1" x14ac:dyDescent="0.35">
      <c r="A28" s="9">
        <v>13268</v>
      </c>
      <c r="B28" s="9" t="s">
        <v>215</v>
      </c>
      <c r="C28" s="9" t="s">
        <v>156</v>
      </c>
      <c r="D28" s="9" t="s">
        <v>225</v>
      </c>
      <c r="E28" s="9">
        <v>6</v>
      </c>
      <c r="F2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8" s="27"/>
      <c r="H28" s="27"/>
      <c r="I28" s="27"/>
      <c r="J28" s="27"/>
      <c r="K28" s="27"/>
      <c r="L28" s="27"/>
    </row>
    <row r="29" spans="1:12" ht="18" hidden="1" x14ac:dyDescent="0.35">
      <c r="A29" s="9">
        <v>14685</v>
      </c>
      <c r="B29" s="9" t="s">
        <v>61</v>
      </c>
      <c r="C29" s="9" t="s">
        <v>54</v>
      </c>
      <c r="D29" s="9" t="s">
        <v>65</v>
      </c>
      <c r="E29" s="9">
        <v>6</v>
      </c>
      <c r="F2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9" s="27"/>
      <c r="H29" s="27"/>
      <c r="I29" s="27"/>
      <c r="J29" s="27"/>
      <c r="K29" s="27"/>
      <c r="L29" s="27"/>
    </row>
    <row r="30" spans="1:12" ht="18" hidden="1" x14ac:dyDescent="0.35">
      <c r="A30" s="9">
        <v>15866</v>
      </c>
      <c r="B30" s="9" t="s">
        <v>215</v>
      </c>
      <c r="C30" s="9" t="s">
        <v>156</v>
      </c>
      <c r="D30" s="9" t="s">
        <v>220</v>
      </c>
      <c r="E30" s="9">
        <v>6</v>
      </c>
      <c r="F3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0" s="27"/>
      <c r="H30" s="27"/>
      <c r="I30" s="27"/>
      <c r="J30" s="27"/>
      <c r="K30" s="27"/>
      <c r="L30" s="27"/>
    </row>
    <row r="31" spans="1:12" ht="18" hidden="1" x14ac:dyDescent="0.35">
      <c r="A31" s="9">
        <v>15979</v>
      </c>
      <c r="B31" s="9" t="s">
        <v>178</v>
      </c>
      <c r="C31" s="9" t="s">
        <v>156</v>
      </c>
      <c r="D31" s="9" t="s">
        <v>184</v>
      </c>
      <c r="E31" s="9">
        <v>6</v>
      </c>
      <c r="F3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1" s="27"/>
      <c r="H31" s="27"/>
      <c r="I31" s="27"/>
      <c r="J31" s="27"/>
      <c r="K31" s="27"/>
      <c r="L31" s="27"/>
    </row>
    <row r="32" spans="1:12" ht="18" hidden="1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2" s="27"/>
      <c r="H32" s="27"/>
      <c r="I32" s="27"/>
      <c r="J32" s="27"/>
      <c r="K32" s="27"/>
      <c r="L32" s="27"/>
    </row>
    <row r="33" spans="1:12" ht="18" hidden="1" x14ac:dyDescent="0.35">
      <c r="A33" s="9">
        <v>16264</v>
      </c>
      <c r="B33" s="9" t="s">
        <v>158</v>
      </c>
      <c r="C33" s="9" t="s">
        <v>156</v>
      </c>
      <c r="D33" s="9" t="s">
        <v>162</v>
      </c>
      <c r="E33" s="9">
        <v>6</v>
      </c>
      <c r="F3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3" s="27"/>
      <c r="H33" s="27"/>
      <c r="I33" s="27"/>
      <c r="J33" s="27"/>
      <c r="K33" s="27"/>
      <c r="L33" s="27"/>
    </row>
    <row r="34" spans="1:12" ht="18" hidden="1" x14ac:dyDescent="0.35">
      <c r="A34" s="9">
        <v>16270</v>
      </c>
      <c r="B34" s="9" t="s">
        <v>198</v>
      </c>
      <c r="C34" s="9" t="s">
        <v>156</v>
      </c>
      <c r="D34" s="9" t="s">
        <v>201</v>
      </c>
      <c r="E34" s="9">
        <v>12</v>
      </c>
      <c r="F3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4" s="27"/>
      <c r="H34" s="27"/>
      <c r="I34" s="27"/>
      <c r="J34" s="27"/>
      <c r="K34" s="27"/>
      <c r="L34" s="27"/>
    </row>
    <row r="35" spans="1:12" ht="18" hidden="1" x14ac:dyDescent="0.35">
      <c r="A35" s="9">
        <v>16960</v>
      </c>
      <c r="B35" s="9" t="s">
        <v>215</v>
      </c>
      <c r="C35" s="9" t="s">
        <v>156</v>
      </c>
      <c r="D35" s="9" t="s">
        <v>217</v>
      </c>
      <c r="E35" s="9">
        <v>6</v>
      </c>
      <c r="F3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5" s="27"/>
      <c r="H35" s="27"/>
      <c r="I35" s="27"/>
      <c r="J35" s="27"/>
      <c r="K35" s="27"/>
      <c r="L35" s="27"/>
    </row>
    <row r="36" spans="1:12" ht="18" hidden="1" x14ac:dyDescent="0.35">
      <c r="A36" s="9">
        <v>17740</v>
      </c>
      <c r="B36" s="9" t="s">
        <v>215</v>
      </c>
      <c r="C36" s="9" t="s">
        <v>156</v>
      </c>
      <c r="D36" s="9" t="s">
        <v>222</v>
      </c>
      <c r="E36" s="9">
        <v>6</v>
      </c>
      <c r="F3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6" s="27"/>
      <c r="H36" s="27"/>
      <c r="I36" s="27"/>
      <c r="J36" s="27"/>
      <c r="K36" s="27"/>
      <c r="L36" s="27"/>
    </row>
    <row r="37" spans="1:12" ht="18" hidden="1" x14ac:dyDescent="0.35">
      <c r="A37" s="9">
        <v>17906</v>
      </c>
      <c r="B37" s="9" t="s">
        <v>178</v>
      </c>
      <c r="C37" s="9" t="s">
        <v>156</v>
      </c>
      <c r="D37" s="9" t="s">
        <v>180</v>
      </c>
      <c r="E37" s="9">
        <v>6</v>
      </c>
      <c r="F3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7" s="27"/>
      <c r="H37" s="27"/>
      <c r="I37" s="27"/>
      <c r="J37" s="27"/>
      <c r="K37" s="27"/>
      <c r="L37" s="27"/>
    </row>
    <row r="38" spans="1:12" ht="18" hidden="1" x14ac:dyDescent="0.35">
      <c r="A38" s="9">
        <v>18100</v>
      </c>
      <c r="B38" s="9" t="s">
        <v>178</v>
      </c>
      <c r="C38" s="9" t="s">
        <v>156</v>
      </c>
      <c r="D38" s="9" t="s">
        <v>190</v>
      </c>
      <c r="E38" s="9">
        <v>6</v>
      </c>
      <c r="F3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8" s="27"/>
      <c r="H38" s="27"/>
      <c r="I38" s="27"/>
      <c r="J38" s="27"/>
      <c r="K38" s="27"/>
      <c r="L38" s="27"/>
    </row>
    <row r="39" spans="1:12" ht="18" hidden="1" x14ac:dyDescent="0.35">
      <c r="A39" s="9">
        <v>18101</v>
      </c>
      <c r="B39" s="9" t="s">
        <v>198</v>
      </c>
      <c r="C39" s="9" t="s">
        <v>156</v>
      </c>
      <c r="D39" s="9" t="s">
        <v>200</v>
      </c>
      <c r="E39" s="9">
        <v>6</v>
      </c>
      <c r="F3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9" s="27"/>
      <c r="H39" s="27"/>
      <c r="I39" s="27"/>
      <c r="J39" s="27"/>
      <c r="K39" s="27"/>
      <c r="L39" s="27"/>
    </row>
    <row r="40" spans="1:12" ht="18" hidden="1" x14ac:dyDescent="0.35">
      <c r="A40" s="9">
        <v>18102</v>
      </c>
      <c r="B40" s="9" t="s">
        <v>178</v>
      </c>
      <c r="C40" s="9" t="s">
        <v>156</v>
      </c>
      <c r="D40" s="9" t="s">
        <v>193</v>
      </c>
      <c r="E40" s="9">
        <v>6</v>
      </c>
      <c r="F4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0" s="27"/>
      <c r="H40" s="27"/>
      <c r="I40" s="27"/>
      <c r="J40" s="27"/>
      <c r="K40" s="27"/>
      <c r="L40" s="27"/>
    </row>
    <row r="41" spans="1:12" ht="18" hidden="1" x14ac:dyDescent="0.35">
      <c r="A41" s="9">
        <v>18113</v>
      </c>
      <c r="B41" s="9" t="s">
        <v>79</v>
      </c>
      <c r="C41" s="9" t="s">
        <v>54</v>
      </c>
      <c r="D41" s="9" t="s">
        <v>85</v>
      </c>
      <c r="E41" s="9">
        <v>24</v>
      </c>
      <c r="F4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1" s="27"/>
      <c r="H41" s="27"/>
      <c r="I41" s="27"/>
      <c r="J41" s="27"/>
      <c r="K41" s="27"/>
      <c r="L41" s="27"/>
    </row>
    <row r="42" spans="1:12" ht="18" hidden="1" x14ac:dyDescent="0.35">
      <c r="A42" s="9">
        <v>19603</v>
      </c>
      <c r="B42" s="9" t="s">
        <v>178</v>
      </c>
      <c r="C42" s="9" t="s">
        <v>156</v>
      </c>
      <c r="D42" s="9" t="s">
        <v>181</v>
      </c>
      <c r="E42" s="9">
        <v>6</v>
      </c>
      <c r="F4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2" s="27"/>
      <c r="H42" s="27"/>
      <c r="I42" s="27"/>
      <c r="J42" s="27"/>
      <c r="K42" s="27"/>
      <c r="L42" s="27"/>
    </row>
    <row r="43" spans="1:12" ht="18" hidden="1" x14ac:dyDescent="0.35">
      <c r="A43" s="9">
        <v>20255</v>
      </c>
      <c r="B43" s="9" t="s">
        <v>92</v>
      </c>
      <c r="C43" s="9" t="s">
        <v>54</v>
      </c>
      <c r="D43" s="9" t="s">
        <v>95</v>
      </c>
      <c r="E43" s="9">
        <v>24</v>
      </c>
      <c r="F4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3" s="27"/>
      <c r="H43" s="27"/>
      <c r="I43" s="27"/>
      <c r="J43" s="27"/>
      <c r="K43" s="27"/>
      <c r="L43" s="27"/>
    </row>
    <row r="44" spans="1:12" ht="18" hidden="1" x14ac:dyDescent="0.35">
      <c r="A44" s="9">
        <v>20430</v>
      </c>
      <c r="B44" s="9" t="s">
        <v>237</v>
      </c>
      <c r="C44" s="9" t="s">
        <v>227</v>
      </c>
      <c r="D44" s="9" t="s">
        <v>238</v>
      </c>
      <c r="E44" s="9">
        <v>6</v>
      </c>
      <c r="F4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4" s="27"/>
      <c r="H44" s="27"/>
      <c r="I44" s="27"/>
      <c r="J44" s="27"/>
      <c r="K44" s="27"/>
      <c r="L44" s="27"/>
    </row>
    <row r="45" spans="1:12" ht="18" hidden="1" x14ac:dyDescent="0.35">
      <c r="A45" s="9">
        <v>20514</v>
      </c>
      <c r="B45" s="9" t="s">
        <v>135</v>
      </c>
      <c r="C45" s="9" t="s">
        <v>136</v>
      </c>
      <c r="D45" s="9" t="s">
        <v>137</v>
      </c>
      <c r="E45" s="9">
        <v>6</v>
      </c>
      <c r="F4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5" s="27"/>
      <c r="H45" s="27"/>
      <c r="I45" s="27"/>
      <c r="J45" s="27"/>
      <c r="K45" s="27"/>
      <c r="L45" s="27"/>
    </row>
    <row r="46" spans="1:12" ht="18" hidden="1" x14ac:dyDescent="0.35">
      <c r="A46" s="9">
        <v>20535</v>
      </c>
      <c r="B46" s="9" t="s">
        <v>139</v>
      </c>
      <c r="C46" s="9" t="s">
        <v>136</v>
      </c>
      <c r="D46" s="9" t="s">
        <v>145</v>
      </c>
      <c r="E46" s="9">
        <v>6</v>
      </c>
      <c r="F4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6" s="27"/>
      <c r="H46" s="27"/>
      <c r="I46" s="27"/>
      <c r="J46" s="27"/>
      <c r="K46" s="27"/>
      <c r="L46" s="27"/>
    </row>
    <row r="47" spans="1:12" ht="18" hidden="1" x14ac:dyDescent="0.35">
      <c r="A47" s="9">
        <v>21852</v>
      </c>
      <c r="B47" s="9" t="s">
        <v>61</v>
      </c>
      <c r="C47" s="9" t="s">
        <v>54</v>
      </c>
      <c r="D47" s="9" t="s">
        <v>63</v>
      </c>
      <c r="E47" s="9">
        <v>6</v>
      </c>
      <c r="F4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7" s="27"/>
      <c r="H47" s="27"/>
      <c r="I47" s="27"/>
      <c r="J47" s="27"/>
      <c r="K47" s="27"/>
      <c r="L47" s="27"/>
    </row>
    <row r="48" spans="1:12" ht="18" hidden="1" x14ac:dyDescent="0.35">
      <c r="A48" s="9">
        <v>21853</v>
      </c>
      <c r="B48" s="9" t="s">
        <v>61</v>
      </c>
      <c r="C48" s="9" t="s">
        <v>54</v>
      </c>
      <c r="D48" s="9" t="s">
        <v>66</v>
      </c>
      <c r="E48" s="9">
        <v>4</v>
      </c>
      <c r="F4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8" s="27"/>
      <c r="H48" s="27"/>
      <c r="I48" s="27"/>
      <c r="J48" s="27"/>
      <c r="K48" s="27"/>
      <c r="L48" s="27"/>
    </row>
    <row r="49" spans="1:12" ht="18" hidden="1" x14ac:dyDescent="0.35">
      <c r="A49" s="9">
        <v>22147</v>
      </c>
      <c r="B49" s="9" t="s">
        <v>139</v>
      </c>
      <c r="C49" s="9" t="s">
        <v>136</v>
      </c>
      <c r="D49" s="9" t="s">
        <v>140</v>
      </c>
      <c r="E49" s="9">
        <v>6</v>
      </c>
      <c r="F4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9" s="27"/>
      <c r="H49" s="27"/>
      <c r="I49" s="27"/>
      <c r="J49" s="27"/>
      <c r="K49" s="27"/>
      <c r="L49" s="27"/>
    </row>
    <row r="50" spans="1:12" ht="18" hidden="1" x14ac:dyDescent="0.35">
      <c r="A50" s="9">
        <v>22426</v>
      </c>
      <c r="B50" s="9" t="s">
        <v>196</v>
      </c>
      <c r="C50" s="9" t="s">
        <v>156</v>
      </c>
      <c r="D50" s="9" t="s">
        <v>197</v>
      </c>
      <c r="E50" s="9">
        <v>6</v>
      </c>
      <c r="F5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0" s="27"/>
      <c r="H50" s="27"/>
      <c r="I50" s="27"/>
      <c r="J50" s="27"/>
      <c r="K50" s="27"/>
      <c r="L50" s="27"/>
    </row>
    <row r="51" spans="1:12" ht="18" hidden="1" x14ac:dyDescent="0.35">
      <c r="A51" s="9">
        <v>22465</v>
      </c>
      <c r="B51" s="9" t="s">
        <v>33</v>
      </c>
      <c r="C51" s="9" t="s">
        <v>24</v>
      </c>
      <c r="D51" s="9" t="s">
        <v>38</v>
      </c>
      <c r="E51" s="9">
        <v>24</v>
      </c>
      <c r="F5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1" s="27"/>
      <c r="H51" s="27"/>
      <c r="I51" s="27"/>
      <c r="J51" s="27"/>
      <c r="K51" s="27"/>
      <c r="L51" s="27"/>
    </row>
    <row r="52" spans="1:12" ht="18" hidden="1" x14ac:dyDescent="0.35">
      <c r="A52" s="9">
        <v>22627</v>
      </c>
      <c r="B52" s="9" t="s">
        <v>215</v>
      </c>
      <c r="C52" s="9" t="s">
        <v>156</v>
      </c>
      <c r="D52" s="9" t="s">
        <v>218</v>
      </c>
      <c r="E52" s="9">
        <v>6</v>
      </c>
      <c r="F5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2" s="27"/>
      <c r="H52" s="27"/>
      <c r="I52" s="27"/>
      <c r="J52" s="27"/>
      <c r="K52" s="27"/>
      <c r="L52" s="27"/>
    </row>
    <row r="53" spans="1:12" ht="18" hidden="1" x14ac:dyDescent="0.35">
      <c r="A53" s="9">
        <v>22717</v>
      </c>
      <c r="B53" s="9" t="s">
        <v>53</v>
      </c>
      <c r="C53" s="9" t="s">
        <v>54</v>
      </c>
      <c r="D53" s="9" t="s">
        <v>60</v>
      </c>
      <c r="E53" s="9">
        <v>24</v>
      </c>
      <c r="F5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3" s="27"/>
      <c r="H53" s="27"/>
      <c r="I53" s="27"/>
      <c r="J53" s="27"/>
      <c r="K53" s="27"/>
      <c r="L53" s="27"/>
    </row>
    <row r="54" spans="1:12" ht="18" hidden="1" x14ac:dyDescent="0.35">
      <c r="A54" s="9">
        <v>22780</v>
      </c>
      <c r="B54" s="9" t="s">
        <v>194</v>
      </c>
      <c r="C54" s="9" t="s">
        <v>156</v>
      </c>
      <c r="D54" s="9" t="s">
        <v>195</v>
      </c>
      <c r="E54" s="9">
        <v>6</v>
      </c>
      <c r="F5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4" s="27"/>
      <c r="H54" s="27"/>
      <c r="I54" s="27"/>
      <c r="J54" s="27"/>
      <c r="K54" s="27"/>
      <c r="L54" s="27"/>
    </row>
    <row r="55" spans="1:12" ht="18" hidden="1" x14ac:dyDescent="0.35">
      <c r="A55" s="9">
        <v>22901</v>
      </c>
      <c r="B55" s="9" t="s">
        <v>210</v>
      </c>
      <c r="C55" s="9" t="s">
        <v>156</v>
      </c>
      <c r="D55" s="9" t="s">
        <v>212</v>
      </c>
      <c r="E55" s="9">
        <v>6</v>
      </c>
      <c r="F5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5" s="27"/>
      <c r="H55" s="27"/>
      <c r="I55" s="27"/>
      <c r="J55" s="27"/>
      <c r="K55" s="27"/>
      <c r="L55" s="27"/>
    </row>
    <row r="56" spans="1:12" ht="18" hidden="1" x14ac:dyDescent="0.35">
      <c r="A56" s="9">
        <v>23103</v>
      </c>
      <c r="B56" s="9" t="s">
        <v>118</v>
      </c>
      <c r="C56" s="9" t="s">
        <v>100</v>
      </c>
      <c r="D56" s="9" t="s">
        <v>122</v>
      </c>
      <c r="E56" s="9">
        <v>12</v>
      </c>
      <c r="F5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6" s="27"/>
      <c r="H56" s="27"/>
      <c r="I56" s="27"/>
      <c r="J56" s="27"/>
      <c r="K56" s="27"/>
      <c r="L56" s="27"/>
    </row>
    <row r="57" spans="1:12" ht="18" hidden="1" x14ac:dyDescent="0.35">
      <c r="A57" s="9">
        <v>24114</v>
      </c>
      <c r="B57" s="9" t="s">
        <v>92</v>
      </c>
      <c r="C57" s="9" t="s">
        <v>54</v>
      </c>
      <c r="D57" s="9" t="s">
        <v>96</v>
      </c>
      <c r="E57" s="9">
        <v>24</v>
      </c>
      <c r="F5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7" s="27"/>
      <c r="H57" s="27"/>
      <c r="I57" s="27"/>
      <c r="J57" s="27"/>
      <c r="K57" s="27"/>
      <c r="L57" s="27"/>
    </row>
    <row r="58" spans="1:12" ht="18" hidden="1" x14ac:dyDescent="0.35">
      <c r="A58" s="9">
        <v>24115</v>
      </c>
      <c r="B58" s="9" t="s">
        <v>33</v>
      </c>
      <c r="C58" s="9" t="s">
        <v>24</v>
      </c>
      <c r="D58" s="9" t="s">
        <v>39</v>
      </c>
      <c r="E58" s="9">
        <v>24</v>
      </c>
      <c r="F5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8" s="27"/>
      <c r="H58" s="27"/>
      <c r="I58" s="27"/>
      <c r="J58" s="27"/>
      <c r="K58" s="27"/>
      <c r="L58" s="27"/>
    </row>
    <row r="59" spans="1:12" ht="18" hidden="1" x14ac:dyDescent="0.35">
      <c r="A59" s="9">
        <v>30787</v>
      </c>
      <c r="B59" s="9" t="s">
        <v>111</v>
      </c>
      <c r="C59" s="9" t="s">
        <v>100</v>
      </c>
      <c r="D59" s="9" t="s">
        <v>113</v>
      </c>
      <c r="E59" s="9">
        <v>12</v>
      </c>
      <c r="F5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9" s="27"/>
      <c r="H59" s="27"/>
      <c r="I59" s="27"/>
      <c r="J59" s="27"/>
      <c r="K59" s="27"/>
      <c r="L59" s="27"/>
    </row>
    <row r="60" spans="1:12" ht="18" hidden="1" x14ac:dyDescent="0.35">
      <c r="A60" s="9">
        <v>31617</v>
      </c>
      <c r="B60" s="9" t="s">
        <v>237</v>
      </c>
      <c r="C60" s="9" t="s">
        <v>227</v>
      </c>
      <c r="D60" s="9" t="s">
        <v>239</v>
      </c>
      <c r="E60" s="9">
        <v>6</v>
      </c>
      <c r="F6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0" s="27"/>
      <c r="H60" s="27"/>
      <c r="I60" s="27"/>
      <c r="J60" s="27"/>
      <c r="K60" s="27"/>
      <c r="L60" s="27"/>
    </row>
    <row r="61" spans="1:12" ht="18" hidden="1" x14ac:dyDescent="0.35">
      <c r="A61" s="9">
        <v>32094</v>
      </c>
      <c r="B61" s="9" t="s">
        <v>210</v>
      </c>
      <c r="C61" s="9" t="s">
        <v>156</v>
      </c>
      <c r="D61" s="9" t="s">
        <v>211</v>
      </c>
      <c r="E61" s="9">
        <v>6</v>
      </c>
      <c r="F6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1" s="27"/>
      <c r="H61" s="27"/>
      <c r="I61" s="27"/>
      <c r="J61" s="27"/>
      <c r="K61" s="27"/>
      <c r="L61" s="27"/>
    </row>
    <row r="62" spans="1:12" ht="18" hidden="1" x14ac:dyDescent="0.35">
      <c r="A62" s="9">
        <v>32398</v>
      </c>
      <c r="B62" s="9" t="s">
        <v>205</v>
      </c>
      <c r="C62" s="9" t="s">
        <v>156</v>
      </c>
      <c r="D62" s="9" t="s">
        <v>209</v>
      </c>
      <c r="E62" s="9">
        <v>12</v>
      </c>
      <c r="F6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2" s="27"/>
      <c r="H62" s="27"/>
      <c r="I62" s="27"/>
      <c r="J62" s="27"/>
      <c r="K62" s="27"/>
      <c r="L62" s="27"/>
    </row>
    <row r="63" spans="1:12" ht="18" hidden="1" x14ac:dyDescent="0.35">
      <c r="A63" s="9">
        <v>32450</v>
      </c>
      <c r="B63" s="9" t="s">
        <v>215</v>
      </c>
      <c r="C63" s="9" t="s">
        <v>156</v>
      </c>
      <c r="D63" s="9" t="s">
        <v>221</v>
      </c>
      <c r="E63" s="9">
        <v>6</v>
      </c>
      <c r="F6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3" s="27"/>
      <c r="H63" s="27"/>
      <c r="I63" s="27"/>
      <c r="J63" s="27"/>
      <c r="K63" s="27"/>
      <c r="L63" s="27"/>
    </row>
    <row r="64" spans="1:12" ht="18" hidden="1" x14ac:dyDescent="0.35">
      <c r="A64" s="9">
        <v>32471</v>
      </c>
      <c r="B64" s="9" t="s">
        <v>33</v>
      </c>
      <c r="C64" s="9" t="s">
        <v>24</v>
      </c>
      <c r="D64" s="9" t="s">
        <v>40</v>
      </c>
      <c r="E64" s="9">
        <v>24</v>
      </c>
      <c r="F6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4" s="27"/>
      <c r="H64" s="27"/>
      <c r="I64" s="27"/>
      <c r="J64" s="27"/>
      <c r="K64" s="27"/>
      <c r="L64" s="27"/>
    </row>
    <row r="65" spans="1:12" ht="18" hidden="1" x14ac:dyDescent="0.35">
      <c r="A65" s="9">
        <v>32483</v>
      </c>
      <c r="B65" s="9" t="s">
        <v>178</v>
      </c>
      <c r="C65" s="9" t="s">
        <v>156</v>
      </c>
      <c r="D65" s="9" t="s">
        <v>179</v>
      </c>
      <c r="E65" s="9">
        <v>6</v>
      </c>
      <c r="F6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5" s="27"/>
      <c r="H65" s="27"/>
      <c r="I65" s="27"/>
      <c r="J65" s="27"/>
      <c r="K65" s="27"/>
      <c r="L65" s="27"/>
    </row>
    <row r="66" spans="1:12" ht="18" hidden="1" x14ac:dyDescent="0.35">
      <c r="A66" s="9">
        <v>33353</v>
      </c>
      <c r="B66" s="9" t="s">
        <v>198</v>
      </c>
      <c r="C66" s="9" t="s">
        <v>156</v>
      </c>
      <c r="D66" s="9" t="s">
        <v>199</v>
      </c>
      <c r="E66" s="9">
        <v>6</v>
      </c>
      <c r="F6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6" s="27"/>
      <c r="H66" s="27"/>
      <c r="I66" s="27"/>
      <c r="J66" s="27"/>
      <c r="K66" s="27"/>
      <c r="L66" s="27"/>
    </row>
    <row r="67" spans="1:12" ht="18" hidden="1" x14ac:dyDescent="0.35">
      <c r="A67" s="9">
        <v>33783</v>
      </c>
      <c r="B67" s="9" t="s">
        <v>92</v>
      </c>
      <c r="C67" s="9" t="s">
        <v>54</v>
      </c>
      <c r="D67" s="9" t="s">
        <v>97</v>
      </c>
      <c r="E67" s="9">
        <v>24</v>
      </c>
      <c r="F6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7" s="27"/>
      <c r="H67" s="27"/>
      <c r="I67" s="27"/>
      <c r="J67" s="27"/>
      <c r="K67" s="27"/>
      <c r="L67" s="27"/>
    </row>
    <row r="68" spans="1:12" ht="18" hidden="1" x14ac:dyDescent="0.35">
      <c r="A68" s="9">
        <v>33975</v>
      </c>
      <c r="B68" s="9" t="s">
        <v>158</v>
      </c>
      <c r="C68" s="9" t="s">
        <v>156</v>
      </c>
      <c r="D68" s="9" t="s">
        <v>164</v>
      </c>
      <c r="E68" s="9">
        <v>6</v>
      </c>
      <c r="F6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8" s="27"/>
      <c r="H68" s="27"/>
      <c r="I68" s="27"/>
      <c r="J68" s="27"/>
      <c r="K68" s="27"/>
      <c r="L68" s="27"/>
    </row>
    <row r="69" spans="1:12" ht="18" hidden="1" x14ac:dyDescent="0.35">
      <c r="A69" s="9">
        <v>34091</v>
      </c>
      <c r="B69" s="9" t="s">
        <v>178</v>
      </c>
      <c r="C69" s="9" t="s">
        <v>156</v>
      </c>
      <c r="D69" s="9" t="s">
        <v>182</v>
      </c>
      <c r="E69" s="9">
        <v>6</v>
      </c>
      <c r="F6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9" s="27"/>
      <c r="H69" s="27"/>
      <c r="I69" s="27"/>
      <c r="J69" s="27"/>
      <c r="K69" s="27"/>
      <c r="L69" s="27"/>
    </row>
    <row r="70" spans="1:12" ht="18" hidden="1" x14ac:dyDescent="0.35">
      <c r="A70" s="9">
        <v>34649</v>
      </c>
      <c r="B70" s="9" t="s">
        <v>79</v>
      </c>
      <c r="C70" s="9" t="s">
        <v>54</v>
      </c>
      <c r="D70" s="9" t="s">
        <v>86</v>
      </c>
      <c r="E70" s="9">
        <v>24</v>
      </c>
      <c r="F7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0" s="27"/>
      <c r="H70" s="27"/>
      <c r="I70" s="27"/>
      <c r="J70" s="27"/>
      <c r="K70" s="27"/>
      <c r="L70" s="27"/>
    </row>
    <row r="71" spans="1:12" ht="18" hidden="1" x14ac:dyDescent="0.35">
      <c r="A71" s="9">
        <v>34663</v>
      </c>
      <c r="B71" s="9" t="s">
        <v>33</v>
      </c>
      <c r="C71" s="9" t="s">
        <v>24</v>
      </c>
      <c r="D71" s="9" t="s">
        <v>41</v>
      </c>
      <c r="E71" s="9">
        <v>24</v>
      </c>
      <c r="F7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1" s="27"/>
      <c r="H71" s="27"/>
      <c r="I71" s="27"/>
      <c r="J71" s="27"/>
      <c r="K71" s="27"/>
      <c r="L71" s="27"/>
    </row>
    <row r="72" spans="1:12" ht="18" hidden="1" x14ac:dyDescent="0.35">
      <c r="A72" s="9">
        <v>34680</v>
      </c>
      <c r="B72" s="9" t="s">
        <v>171</v>
      </c>
      <c r="C72" s="9" t="s">
        <v>156</v>
      </c>
      <c r="D72" s="9" t="s">
        <v>174</v>
      </c>
      <c r="E72" s="9">
        <v>6</v>
      </c>
      <c r="F7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2" s="27"/>
      <c r="H72" s="27"/>
      <c r="I72" s="27"/>
      <c r="J72" s="27"/>
      <c r="K72" s="27"/>
      <c r="L72" s="27"/>
    </row>
    <row r="73" spans="1:12" ht="18" hidden="1" x14ac:dyDescent="0.35">
      <c r="A73" s="9">
        <v>35051</v>
      </c>
      <c r="B73" s="9" t="s">
        <v>226</v>
      </c>
      <c r="C73" s="9" t="s">
        <v>227</v>
      </c>
      <c r="D73" s="9" t="s">
        <v>234</v>
      </c>
      <c r="E73" s="9">
        <v>6</v>
      </c>
      <c r="F7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3" s="27"/>
      <c r="H73" s="27"/>
      <c r="I73" s="27"/>
      <c r="J73" s="27"/>
      <c r="K73" s="27"/>
      <c r="L73" s="27"/>
    </row>
    <row r="74" spans="1:12" ht="18" hidden="1" x14ac:dyDescent="0.35">
      <c r="A74" s="9">
        <v>35071</v>
      </c>
      <c r="B74" s="9" t="s">
        <v>205</v>
      </c>
      <c r="C74" s="9" t="s">
        <v>156</v>
      </c>
      <c r="D74" s="9" t="s">
        <v>206</v>
      </c>
      <c r="E74" s="9">
        <v>6</v>
      </c>
      <c r="F7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4" s="27"/>
      <c r="H74" s="27"/>
      <c r="I74" s="27"/>
      <c r="J74" s="27"/>
      <c r="K74" s="27"/>
      <c r="L74" s="27"/>
    </row>
    <row r="75" spans="1:12" ht="18" hidden="1" x14ac:dyDescent="0.35">
      <c r="A75" s="9">
        <v>35199</v>
      </c>
      <c r="B75" s="9" t="s">
        <v>99</v>
      </c>
      <c r="C75" s="9" t="s">
        <v>100</v>
      </c>
      <c r="D75" s="9" t="s">
        <v>105</v>
      </c>
      <c r="E75" s="9">
        <v>12</v>
      </c>
      <c r="F7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5" s="27"/>
      <c r="H75" s="27"/>
      <c r="I75" s="27"/>
      <c r="J75" s="27"/>
      <c r="K75" s="27"/>
      <c r="L75" s="27"/>
    </row>
    <row r="76" spans="1:12" ht="18" hidden="1" x14ac:dyDescent="0.35">
      <c r="A76" s="9">
        <v>35257</v>
      </c>
      <c r="B76" s="9" t="s">
        <v>99</v>
      </c>
      <c r="C76" s="9" t="s">
        <v>100</v>
      </c>
      <c r="D76" s="9" t="s">
        <v>104</v>
      </c>
      <c r="E76" s="9">
        <v>12</v>
      </c>
      <c r="F7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6" s="27"/>
      <c r="H76" s="27"/>
      <c r="I76" s="27"/>
      <c r="J76" s="27"/>
      <c r="K76" s="27"/>
      <c r="L76" s="27"/>
    </row>
    <row r="77" spans="1:12" ht="18" hidden="1" x14ac:dyDescent="0.35">
      <c r="A77" s="9">
        <v>35260</v>
      </c>
      <c r="B77" s="9" t="s">
        <v>226</v>
      </c>
      <c r="C77" s="9" t="s">
        <v>227</v>
      </c>
      <c r="D77" s="9" t="s">
        <v>235</v>
      </c>
      <c r="E77" s="9">
        <v>6</v>
      </c>
      <c r="F7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7" s="27"/>
      <c r="H77" s="27"/>
      <c r="I77" s="27"/>
      <c r="J77" s="27"/>
      <c r="K77" s="27"/>
      <c r="L77" s="27"/>
    </row>
    <row r="78" spans="1:12" ht="18" hidden="1" x14ac:dyDescent="0.35">
      <c r="A78" s="9">
        <v>35342</v>
      </c>
      <c r="B78" s="9" t="s">
        <v>99</v>
      </c>
      <c r="C78" s="9" t="s">
        <v>100</v>
      </c>
      <c r="D78" s="9" t="s">
        <v>109</v>
      </c>
      <c r="E78" s="9">
        <v>12</v>
      </c>
      <c r="F7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8" s="27"/>
      <c r="H78" s="27"/>
      <c r="I78" s="27"/>
      <c r="J78" s="27"/>
      <c r="K78" s="27"/>
      <c r="L78" s="27"/>
    </row>
    <row r="79" spans="1:12" ht="18" hidden="1" x14ac:dyDescent="0.35">
      <c r="A79" s="9">
        <v>35541</v>
      </c>
      <c r="B79" s="9" t="s">
        <v>114</v>
      </c>
      <c r="C79" s="9" t="s">
        <v>100</v>
      </c>
      <c r="D79" s="9" t="s">
        <v>115</v>
      </c>
      <c r="E79" s="9">
        <v>6</v>
      </c>
      <c r="F7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9" s="27"/>
      <c r="H79" s="27"/>
      <c r="I79" s="27"/>
      <c r="J79" s="27"/>
      <c r="K79" s="27"/>
      <c r="L79" s="27"/>
    </row>
    <row r="80" spans="1:12" ht="18" hidden="1" x14ac:dyDescent="0.35">
      <c r="A80" s="9">
        <v>35694</v>
      </c>
      <c r="B80" s="9" t="s">
        <v>79</v>
      </c>
      <c r="C80" s="9" t="s">
        <v>54</v>
      </c>
      <c r="D80" s="9" t="s">
        <v>80</v>
      </c>
      <c r="E80" s="9">
        <v>24</v>
      </c>
      <c r="F8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0" s="27"/>
      <c r="H80" s="27"/>
      <c r="I80" s="27"/>
      <c r="J80" s="27"/>
      <c r="K80" s="27"/>
      <c r="L80" s="27"/>
    </row>
    <row r="81" spans="1:12" ht="18" hidden="1" x14ac:dyDescent="0.35">
      <c r="A81" s="9">
        <v>36676</v>
      </c>
      <c r="B81" s="9" t="s">
        <v>250</v>
      </c>
      <c r="C81" s="9" t="s">
        <v>227</v>
      </c>
      <c r="D81" s="9" t="s">
        <v>256</v>
      </c>
      <c r="E81" s="9">
        <v>6</v>
      </c>
      <c r="F8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1" s="27"/>
      <c r="H81" s="27"/>
      <c r="I81" s="27"/>
      <c r="J81" s="27"/>
      <c r="K81" s="27"/>
      <c r="L81" s="27"/>
    </row>
    <row r="82" spans="1:12" ht="18" hidden="1" x14ac:dyDescent="0.35">
      <c r="A82" s="9">
        <v>36728</v>
      </c>
      <c r="B82" s="9" t="s">
        <v>33</v>
      </c>
      <c r="C82" s="9" t="s">
        <v>24</v>
      </c>
      <c r="D82" s="9" t="s">
        <v>37</v>
      </c>
      <c r="E82" s="9">
        <v>24</v>
      </c>
      <c r="F8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2" s="27"/>
      <c r="H82" s="27"/>
      <c r="I82" s="27"/>
      <c r="J82" s="27"/>
      <c r="K82" s="27"/>
      <c r="L82" s="27"/>
    </row>
    <row r="83" spans="1:12" ht="18" hidden="1" x14ac:dyDescent="0.35">
      <c r="A83" s="9">
        <v>36883</v>
      </c>
      <c r="B83" s="9" t="s">
        <v>118</v>
      </c>
      <c r="C83" s="9" t="s">
        <v>100</v>
      </c>
      <c r="D83" s="9" t="s">
        <v>120</v>
      </c>
      <c r="E83" s="9">
        <v>6</v>
      </c>
      <c r="F8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3" s="27"/>
      <c r="H83" s="27"/>
      <c r="I83" s="27"/>
      <c r="J83" s="27"/>
      <c r="K83" s="27"/>
      <c r="L83" s="27"/>
    </row>
    <row r="84" spans="1:12" ht="18" hidden="1" x14ac:dyDescent="0.35">
      <c r="A84" s="9">
        <v>36935</v>
      </c>
      <c r="B84" s="9" t="s">
        <v>129</v>
      </c>
      <c r="C84" s="9" t="s">
        <v>100</v>
      </c>
      <c r="D84" s="9" t="s">
        <v>134</v>
      </c>
      <c r="E84" s="9">
        <v>12</v>
      </c>
      <c r="F8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4" s="27"/>
      <c r="H84" s="27"/>
      <c r="I84" s="27"/>
      <c r="J84" s="27"/>
      <c r="K84" s="27"/>
      <c r="L84" s="27"/>
    </row>
    <row r="85" spans="1:12" ht="18" hidden="1" x14ac:dyDescent="0.35">
      <c r="A85" s="9">
        <v>37124</v>
      </c>
      <c r="B85" s="9" t="s">
        <v>171</v>
      </c>
      <c r="C85" s="9" t="s">
        <v>156</v>
      </c>
      <c r="D85" s="9" t="s">
        <v>172</v>
      </c>
      <c r="E85" s="9">
        <v>6</v>
      </c>
      <c r="F8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5" s="27"/>
      <c r="H85" s="27"/>
      <c r="I85" s="27"/>
      <c r="J85" s="27"/>
      <c r="K85" s="27"/>
      <c r="L85" s="27"/>
    </row>
    <row r="86" spans="1:12" ht="18" hidden="1" x14ac:dyDescent="0.35">
      <c r="A86" s="9">
        <v>37125</v>
      </c>
      <c r="B86" s="9" t="s">
        <v>250</v>
      </c>
      <c r="C86" s="9" t="s">
        <v>227</v>
      </c>
      <c r="D86" s="9" t="s">
        <v>253</v>
      </c>
      <c r="E86" s="9">
        <v>6</v>
      </c>
      <c r="F8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6" s="27"/>
      <c r="H86" s="27"/>
      <c r="I86" s="27"/>
      <c r="J86" s="27"/>
      <c r="K86" s="27"/>
      <c r="L86" s="27"/>
    </row>
    <row r="87" spans="1:12" ht="18" hidden="1" x14ac:dyDescent="0.35">
      <c r="A87" s="9">
        <v>37152</v>
      </c>
      <c r="B87" s="9" t="s">
        <v>139</v>
      </c>
      <c r="C87" s="9" t="s">
        <v>136</v>
      </c>
      <c r="D87" s="9" t="s">
        <v>143</v>
      </c>
      <c r="E87" s="9">
        <v>6</v>
      </c>
      <c r="F8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7" s="27"/>
      <c r="H87" s="27"/>
      <c r="I87" s="27"/>
      <c r="J87" s="27"/>
      <c r="K87" s="27"/>
      <c r="L87" s="27"/>
    </row>
    <row r="88" spans="1:12" ht="18" hidden="1" x14ac:dyDescent="0.35">
      <c r="A88" s="9">
        <v>37240</v>
      </c>
      <c r="B88" s="9" t="s">
        <v>250</v>
      </c>
      <c r="C88" s="9" t="s">
        <v>227</v>
      </c>
      <c r="D88" s="9" t="s">
        <v>252</v>
      </c>
      <c r="E88" s="9">
        <v>6</v>
      </c>
      <c r="F8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8" s="27"/>
      <c r="H88" s="27"/>
      <c r="I88" s="27"/>
      <c r="J88" s="27"/>
      <c r="K88" s="27"/>
      <c r="L88" s="27"/>
    </row>
    <row r="89" spans="1:12" ht="18" hidden="1" x14ac:dyDescent="0.35">
      <c r="A89" s="9">
        <v>37272</v>
      </c>
      <c r="B89" s="9" t="s">
        <v>99</v>
      </c>
      <c r="C89" s="9" t="s">
        <v>100</v>
      </c>
      <c r="D89" s="9" t="s">
        <v>108</v>
      </c>
      <c r="E89" s="9">
        <v>6</v>
      </c>
      <c r="F8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9" s="27"/>
      <c r="H89" s="27"/>
      <c r="I89" s="27"/>
      <c r="J89" s="27"/>
      <c r="K89" s="27"/>
      <c r="L89" s="27"/>
    </row>
    <row r="90" spans="1:12" ht="18" hidden="1" x14ac:dyDescent="0.35">
      <c r="A90" s="9">
        <v>37350</v>
      </c>
      <c r="B90" s="9" t="s">
        <v>114</v>
      </c>
      <c r="C90" s="9" t="s">
        <v>100</v>
      </c>
      <c r="D90" s="9" t="s">
        <v>117</v>
      </c>
      <c r="E90" s="9">
        <v>6</v>
      </c>
      <c r="F9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0" s="27"/>
      <c r="H90" s="27"/>
      <c r="I90" s="27"/>
      <c r="J90" s="27"/>
      <c r="K90" s="27"/>
      <c r="L90" s="27"/>
    </row>
    <row r="91" spans="1:12" ht="18" hidden="1" x14ac:dyDescent="0.35">
      <c r="A91" s="9">
        <v>37396</v>
      </c>
      <c r="B91" s="9" t="s">
        <v>243</v>
      </c>
      <c r="C91" s="9" t="s">
        <v>227</v>
      </c>
      <c r="D91" s="9" t="s">
        <v>247</v>
      </c>
      <c r="E91" s="9">
        <v>6</v>
      </c>
      <c r="F9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1" s="27"/>
      <c r="H91" s="27"/>
      <c r="I91" s="27"/>
      <c r="J91" s="27"/>
      <c r="K91" s="27"/>
      <c r="L91" s="27"/>
    </row>
    <row r="92" spans="1:12" ht="18" hidden="1" x14ac:dyDescent="0.35">
      <c r="A92" s="9">
        <v>37506</v>
      </c>
      <c r="B92" s="9" t="s">
        <v>250</v>
      </c>
      <c r="C92" s="9" t="s">
        <v>227</v>
      </c>
      <c r="D92" s="9" t="s">
        <v>254</v>
      </c>
      <c r="E92" s="9">
        <v>6</v>
      </c>
      <c r="F9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2" s="27"/>
      <c r="H92" s="27"/>
      <c r="I92" s="27"/>
      <c r="J92" s="27"/>
      <c r="K92" s="27"/>
      <c r="L92" s="27"/>
    </row>
    <row r="93" spans="1:12" ht="18" hidden="1" x14ac:dyDescent="0.35">
      <c r="A93" s="9">
        <v>38167</v>
      </c>
      <c r="B93" s="9" t="s">
        <v>198</v>
      </c>
      <c r="C93" s="9" t="s">
        <v>156</v>
      </c>
      <c r="D93" s="9" t="s">
        <v>203</v>
      </c>
      <c r="E93" s="9">
        <v>6</v>
      </c>
      <c r="F9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3" s="27"/>
      <c r="H93" s="27"/>
      <c r="I93" s="27"/>
      <c r="J93" s="27"/>
      <c r="K93" s="27"/>
      <c r="L93" s="27"/>
    </row>
    <row r="94" spans="1:12" ht="18" hidden="1" x14ac:dyDescent="0.35">
      <c r="A94" s="9">
        <v>39034</v>
      </c>
      <c r="B94" s="9" t="s">
        <v>210</v>
      </c>
      <c r="C94" s="9" t="s">
        <v>156</v>
      </c>
      <c r="D94" s="9" t="s">
        <v>214</v>
      </c>
      <c r="E94" s="9">
        <v>6</v>
      </c>
      <c r="F9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4" s="27"/>
      <c r="H94" s="27"/>
      <c r="I94" s="27"/>
      <c r="J94" s="27"/>
      <c r="K94" s="27"/>
      <c r="L94" s="27"/>
    </row>
    <row r="95" spans="1:12" ht="18" hidden="1" x14ac:dyDescent="0.35">
      <c r="A95" s="9">
        <v>39143</v>
      </c>
      <c r="B95" s="9" t="s">
        <v>178</v>
      </c>
      <c r="C95" s="9" t="s">
        <v>156</v>
      </c>
      <c r="D95" s="9" t="s">
        <v>186</v>
      </c>
      <c r="E95" s="9">
        <v>6</v>
      </c>
      <c r="F9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5" s="27"/>
      <c r="H95" s="27"/>
      <c r="I95" s="27"/>
      <c r="J95" s="27"/>
      <c r="K95" s="27"/>
      <c r="L95" s="27"/>
    </row>
    <row r="96" spans="1:12" ht="18" hidden="1" x14ac:dyDescent="0.35">
      <c r="A96" s="9">
        <v>39973</v>
      </c>
      <c r="B96" s="9" t="s">
        <v>248</v>
      </c>
      <c r="C96" s="9" t="s">
        <v>227</v>
      </c>
      <c r="D96" s="9" t="s">
        <v>249</v>
      </c>
      <c r="E96" s="9">
        <v>6</v>
      </c>
      <c r="F9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6" s="27"/>
      <c r="H96" s="27"/>
      <c r="I96" s="27"/>
      <c r="J96" s="27"/>
      <c r="K96" s="27"/>
      <c r="L96" s="27"/>
    </row>
    <row r="97" spans="1:12" ht="18" hidden="1" x14ac:dyDescent="0.35">
      <c r="A97" s="9">
        <v>40369</v>
      </c>
      <c r="B97" s="9" t="s">
        <v>215</v>
      </c>
      <c r="C97" s="9" t="s">
        <v>156</v>
      </c>
      <c r="D97" s="9" t="s">
        <v>224</v>
      </c>
      <c r="E97" s="9">
        <v>6</v>
      </c>
      <c r="F9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7" s="27"/>
      <c r="H97" s="27"/>
      <c r="I97" s="27"/>
      <c r="J97" s="27"/>
      <c r="K97" s="27"/>
      <c r="L97" s="27"/>
    </row>
    <row r="98" spans="1:12" ht="18" hidden="1" x14ac:dyDescent="0.35">
      <c r="A98" s="9">
        <v>40677</v>
      </c>
      <c r="B98" s="9" t="s">
        <v>243</v>
      </c>
      <c r="C98" s="9" t="s">
        <v>227</v>
      </c>
      <c r="D98" s="9" t="s">
        <v>245</v>
      </c>
      <c r="E98" s="9">
        <v>12</v>
      </c>
      <c r="F9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8" s="27"/>
      <c r="H98" s="27"/>
      <c r="I98" s="27"/>
      <c r="J98" s="27"/>
      <c r="K98" s="27"/>
      <c r="L98" s="27"/>
    </row>
    <row r="99" spans="1:12" ht="18" hidden="1" x14ac:dyDescent="0.35">
      <c r="A99" s="9">
        <v>41536</v>
      </c>
      <c r="B99" s="9" t="s">
        <v>50</v>
      </c>
      <c r="C99" s="9" t="s">
        <v>45</v>
      </c>
      <c r="D99" s="9" t="s">
        <v>51</v>
      </c>
      <c r="E99" s="9">
        <v>6</v>
      </c>
      <c r="F9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9" s="27"/>
      <c r="H99" s="27"/>
      <c r="I99" s="27"/>
      <c r="J99" s="27"/>
      <c r="K99" s="27"/>
      <c r="L99" s="27"/>
    </row>
    <row r="100" spans="1:12" ht="18" hidden="1" x14ac:dyDescent="0.35">
      <c r="A100" s="9">
        <v>41789</v>
      </c>
      <c r="B100" s="9" t="s">
        <v>205</v>
      </c>
      <c r="C100" s="9" t="s">
        <v>156</v>
      </c>
      <c r="D100" s="9" t="s">
        <v>208</v>
      </c>
      <c r="E100" s="9">
        <v>6</v>
      </c>
      <c r="F10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0" s="27"/>
      <c r="H100" s="27"/>
      <c r="I100" s="27"/>
      <c r="J100" s="27"/>
      <c r="K100" s="27"/>
      <c r="L100" s="27"/>
    </row>
    <row r="101" spans="1:12" ht="18" hidden="1" x14ac:dyDescent="0.35">
      <c r="A101" s="9">
        <v>42446</v>
      </c>
      <c r="B101" s="9" t="s">
        <v>158</v>
      </c>
      <c r="C101" s="9" t="s">
        <v>156</v>
      </c>
      <c r="D101" s="9" t="s">
        <v>165</v>
      </c>
      <c r="E101" s="9">
        <v>6</v>
      </c>
      <c r="F10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1" s="27"/>
      <c r="H101" s="27"/>
      <c r="I101" s="27"/>
      <c r="J101" s="27"/>
      <c r="K101" s="27"/>
      <c r="L101" s="27"/>
    </row>
    <row r="102" spans="1:12" ht="18" hidden="1" x14ac:dyDescent="0.35">
      <c r="A102" s="9">
        <v>42817</v>
      </c>
      <c r="B102" s="9" t="s">
        <v>99</v>
      </c>
      <c r="C102" s="9" t="s">
        <v>100</v>
      </c>
      <c r="D102" s="9" t="s">
        <v>107</v>
      </c>
      <c r="E102" s="9">
        <v>6</v>
      </c>
      <c r="F10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2" s="27"/>
      <c r="H102" s="27"/>
      <c r="I102" s="27"/>
      <c r="J102" s="27"/>
      <c r="K102" s="27"/>
      <c r="L102" s="27"/>
    </row>
    <row r="103" spans="1:12" ht="18" hidden="1" x14ac:dyDescent="0.35">
      <c r="A103" s="9">
        <v>43490</v>
      </c>
      <c r="B103" s="9" t="s">
        <v>178</v>
      </c>
      <c r="C103" s="9" t="s">
        <v>156</v>
      </c>
      <c r="D103" s="9" t="s">
        <v>189</v>
      </c>
      <c r="E103" s="9">
        <v>6</v>
      </c>
      <c r="F10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3" s="27"/>
      <c r="H103" s="27"/>
      <c r="I103" s="27"/>
      <c r="J103" s="27"/>
      <c r="K103" s="27"/>
      <c r="L103" s="27"/>
    </row>
    <row r="104" spans="1:12" ht="18" hidden="1" x14ac:dyDescent="0.35">
      <c r="A104" s="9">
        <v>43634</v>
      </c>
      <c r="B104" s="9" t="s">
        <v>118</v>
      </c>
      <c r="C104" s="9" t="s">
        <v>100</v>
      </c>
      <c r="D104" s="9" t="s">
        <v>128</v>
      </c>
      <c r="E104" s="9">
        <v>12</v>
      </c>
      <c r="F10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4" s="27"/>
      <c r="H104" s="27"/>
      <c r="I104" s="27"/>
      <c r="J104" s="27"/>
      <c r="K104" s="27"/>
      <c r="L104" s="27"/>
    </row>
    <row r="105" spans="1:12" ht="18" hidden="1" x14ac:dyDescent="0.35">
      <c r="A105" s="9">
        <v>43699</v>
      </c>
      <c r="B105" s="9" t="s">
        <v>139</v>
      </c>
      <c r="C105" s="9" t="s">
        <v>136</v>
      </c>
      <c r="D105" s="9" t="s">
        <v>144</v>
      </c>
      <c r="E105" s="9">
        <v>6</v>
      </c>
      <c r="F10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5" s="27"/>
      <c r="H105" s="27"/>
      <c r="I105" s="27"/>
      <c r="J105" s="27"/>
      <c r="K105" s="27"/>
      <c r="L105" s="27"/>
    </row>
    <row r="106" spans="1:12" ht="18" hidden="1" x14ac:dyDescent="0.35">
      <c r="A106" s="9">
        <v>44485</v>
      </c>
      <c r="B106" s="9" t="s">
        <v>226</v>
      </c>
      <c r="C106" s="9" t="s">
        <v>227</v>
      </c>
      <c r="D106" s="9" t="s">
        <v>236</v>
      </c>
      <c r="E106" s="9">
        <v>6</v>
      </c>
      <c r="F10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6" s="27"/>
      <c r="H106" s="27"/>
      <c r="I106" s="27"/>
      <c r="J106" s="27"/>
      <c r="K106" s="27"/>
      <c r="L106" s="27"/>
    </row>
    <row r="107" spans="1:12" ht="18" hidden="1" x14ac:dyDescent="0.35">
      <c r="A107" s="9">
        <v>45247</v>
      </c>
      <c r="B107" s="9" t="s">
        <v>158</v>
      </c>
      <c r="C107" s="9" t="s">
        <v>156</v>
      </c>
      <c r="D107" s="9" t="s">
        <v>159</v>
      </c>
      <c r="E107" s="9">
        <v>6</v>
      </c>
      <c r="F10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7" s="27"/>
      <c r="H107" s="27"/>
      <c r="I107" s="27"/>
      <c r="J107" s="27"/>
      <c r="K107" s="27"/>
      <c r="L107" s="27"/>
    </row>
    <row r="108" spans="1:12" ht="18" hidden="1" x14ac:dyDescent="0.35">
      <c r="A108" s="9">
        <v>45248</v>
      </c>
      <c r="B108" s="9" t="s">
        <v>158</v>
      </c>
      <c r="C108" s="9" t="s">
        <v>156</v>
      </c>
      <c r="D108" s="9" t="s">
        <v>163</v>
      </c>
      <c r="E108" s="9">
        <v>6</v>
      </c>
      <c r="F10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8" s="27"/>
      <c r="H108" s="27"/>
      <c r="I108" s="27"/>
      <c r="J108" s="27"/>
      <c r="K108" s="27"/>
      <c r="L108" s="27"/>
    </row>
    <row r="109" spans="1:12" ht="18" hidden="1" x14ac:dyDescent="0.35">
      <c r="A109" s="9">
        <v>46217</v>
      </c>
      <c r="B109" s="9" t="s">
        <v>147</v>
      </c>
      <c r="C109" s="9" t="s">
        <v>136</v>
      </c>
      <c r="D109" s="9" t="s">
        <v>154</v>
      </c>
      <c r="E109" s="9">
        <v>12</v>
      </c>
      <c r="F10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9" s="27"/>
      <c r="H109" s="27"/>
      <c r="I109" s="27"/>
      <c r="J109" s="27"/>
      <c r="K109" s="27"/>
      <c r="L109" s="27"/>
    </row>
    <row r="110" spans="1:12" ht="18" hidden="1" x14ac:dyDescent="0.35">
      <c r="A110" s="9">
        <v>46286</v>
      </c>
      <c r="B110" s="9" t="s">
        <v>198</v>
      </c>
      <c r="C110" s="9" t="s">
        <v>156</v>
      </c>
      <c r="D110" s="9" t="s">
        <v>204</v>
      </c>
      <c r="E110" s="9">
        <v>6</v>
      </c>
      <c r="F11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0" s="27"/>
      <c r="H110" s="27"/>
      <c r="I110" s="27"/>
      <c r="J110" s="27"/>
      <c r="K110" s="27"/>
      <c r="L110" s="27"/>
    </row>
    <row r="111" spans="1:12" ht="18" hidden="1" x14ac:dyDescent="0.35">
      <c r="A111" s="9">
        <v>46889</v>
      </c>
      <c r="B111" s="9" t="s">
        <v>147</v>
      </c>
      <c r="C111" s="9" t="s">
        <v>136</v>
      </c>
      <c r="D111" s="9" t="s">
        <v>151</v>
      </c>
      <c r="E111" s="9">
        <v>6</v>
      </c>
      <c r="F11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1" s="27"/>
      <c r="H111" s="27"/>
      <c r="I111" s="27"/>
      <c r="J111" s="27"/>
      <c r="K111" s="27"/>
      <c r="L111" s="27"/>
    </row>
    <row r="112" spans="1:12" ht="18" hidden="1" x14ac:dyDescent="0.35">
      <c r="A112" s="9">
        <v>47463</v>
      </c>
      <c r="B112" s="9" t="s">
        <v>243</v>
      </c>
      <c r="C112" s="9" t="s">
        <v>227</v>
      </c>
      <c r="D112" s="9" t="s">
        <v>244</v>
      </c>
      <c r="E112" s="9">
        <v>12</v>
      </c>
      <c r="F11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2" s="27"/>
      <c r="H112" s="27"/>
      <c r="I112" s="27"/>
      <c r="J112" s="27"/>
      <c r="K112" s="27"/>
      <c r="L112" s="27"/>
    </row>
    <row r="113" spans="1:12" ht="18" hidden="1" x14ac:dyDescent="0.35">
      <c r="A113" s="9">
        <v>47464</v>
      </c>
      <c r="B113" s="9" t="s">
        <v>258</v>
      </c>
      <c r="C113" s="9" t="s">
        <v>227</v>
      </c>
      <c r="D113" s="9" t="s">
        <v>259</v>
      </c>
      <c r="E113" s="9">
        <v>12</v>
      </c>
      <c r="F11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3" s="27"/>
      <c r="H113" s="27"/>
      <c r="I113" s="27"/>
      <c r="J113" s="27"/>
      <c r="K113" s="27"/>
      <c r="L113" s="27"/>
    </row>
    <row r="114" spans="1:12" ht="18" hidden="1" x14ac:dyDescent="0.35">
      <c r="A114" s="9">
        <v>47824</v>
      </c>
      <c r="B114" s="9" t="s">
        <v>250</v>
      </c>
      <c r="C114" s="9" t="s">
        <v>227</v>
      </c>
      <c r="D114" s="9" t="s">
        <v>255</v>
      </c>
      <c r="E114" s="9">
        <v>6</v>
      </c>
      <c r="F11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4" s="27"/>
      <c r="H114" s="27"/>
      <c r="I114" s="27"/>
      <c r="J114" s="27"/>
      <c r="K114" s="27"/>
      <c r="L114" s="27"/>
    </row>
    <row r="115" spans="1:12" ht="18" hidden="1" x14ac:dyDescent="0.35">
      <c r="A115" s="9">
        <v>47825</v>
      </c>
      <c r="B115" s="9" t="s">
        <v>226</v>
      </c>
      <c r="C115" s="9" t="s">
        <v>227</v>
      </c>
      <c r="D115" s="9" t="s">
        <v>232</v>
      </c>
      <c r="E115" s="9">
        <v>6</v>
      </c>
      <c r="F11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5" s="27"/>
      <c r="H115" s="27"/>
      <c r="I115" s="27"/>
      <c r="J115" s="27"/>
      <c r="K115" s="27"/>
      <c r="L115" s="27"/>
    </row>
    <row r="116" spans="1:12" ht="18" hidden="1" x14ac:dyDescent="0.35">
      <c r="A116" s="9">
        <v>48822</v>
      </c>
      <c r="B116" s="9" t="s">
        <v>92</v>
      </c>
      <c r="C116" s="9" t="s">
        <v>54</v>
      </c>
      <c r="D116" s="9" t="s">
        <v>98</v>
      </c>
      <c r="E116" s="9">
        <v>24</v>
      </c>
      <c r="F11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6" s="27"/>
      <c r="H116" s="27"/>
      <c r="I116" s="27"/>
      <c r="J116" s="27"/>
      <c r="K116" s="27"/>
      <c r="L116" s="27"/>
    </row>
    <row r="117" spans="1:12" ht="18" hidden="1" x14ac:dyDescent="0.35">
      <c r="A117" s="9">
        <v>49768</v>
      </c>
      <c r="B117" s="9" t="s">
        <v>178</v>
      </c>
      <c r="C117" s="9" t="s">
        <v>156</v>
      </c>
      <c r="D117" s="9" t="s">
        <v>191</v>
      </c>
      <c r="E117" s="9">
        <v>6</v>
      </c>
      <c r="F11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7" s="27"/>
      <c r="H117" s="27"/>
      <c r="I117" s="27"/>
      <c r="J117" s="27"/>
      <c r="K117" s="27"/>
      <c r="L117" s="27"/>
    </row>
    <row r="118" spans="1:12" ht="18" hidden="1" x14ac:dyDescent="0.35">
      <c r="A118" s="9">
        <v>50514</v>
      </c>
      <c r="B118" s="9" t="s">
        <v>147</v>
      </c>
      <c r="C118" s="9" t="s">
        <v>136</v>
      </c>
      <c r="D118" s="9" t="s">
        <v>150</v>
      </c>
      <c r="E118" s="9">
        <v>6</v>
      </c>
      <c r="F11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8" s="27"/>
      <c r="H118" s="27"/>
      <c r="I118" s="27"/>
      <c r="J118" s="27"/>
      <c r="K118" s="27"/>
      <c r="L118" s="27"/>
    </row>
    <row r="119" spans="1:12" ht="18" hidden="1" x14ac:dyDescent="0.35">
      <c r="A119" s="9">
        <v>51559</v>
      </c>
      <c r="B119" s="9" t="s">
        <v>118</v>
      </c>
      <c r="C119" s="9" t="s">
        <v>100</v>
      </c>
      <c r="D119" s="9" t="s">
        <v>119</v>
      </c>
      <c r="E119" s="9">
        <v>12</v>
      </c>
      <c r="F11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9" s="27"/>
      <c r="H119" s="27"/>
      <c r="I119" s="27"/>
      <c r="J119" s="27"/>
      <c r="K119" s="27"/>
      <c r="L119" s="27"/>
    </row>
    <row r="120" spans="1:12" ht="18" hidden="1" x14ac:dyDescent="0.35">
      <c r="A120" s="9">
        <v>51560</v>
      </c>
      <c r="B120" s="9" t="s">
        <v>250</v>
      </c>
      <c r="C120" s="9" t="s">
        <v>227</v>
      </c>
      <c r="D120" s="9" t="s">
        <v>251</v>
      </c>
      <c r="E120" s="9">
        <v>12</v>
      </c>
      <c r="F12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0" s="27"/>
      <c r="H120" s="27"/>
      <c r="I120" s="27"/>
      <c r="J120" s="27"/>
      <c r="K120" s="27"/>
      <c r="L120" s="27"/>
    </row>
    <row r="121" spans="1:12" ht="18" hidden="1" x14ac:dyDescent="0.35">
      <c r="A121" s="9">
        <v>51561</v>
      </c>
      <c r="B121" s="9" t="s">
        <v>139</v>
      </c>
      <c r="C121" s="9" t="s">
        <v>136</v>
      </c>
      <c r="D121" s="9" t="s">
        <v>146</v>
      </c>
      <c r="E121" s="9">
        <v>12</v>
      </c>
      <c r="F12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1" s="27"/>
      <c r="H121" s="27"/>
      <c r="I121" s="27"/>
      <c r="J121" s="27"/>
      <c r="K121" s="27"/>
      <c r="L121" s="27"/>
    </row>
    <row r="122" spans="1:12" ht="18" hidden="1" x14ac:dyDescent="0.35">
      <c r="A122" s="9">
        <v>52397</v>
      </c>
      <c r="B122" s="9" t="s">
        <v>205</v>
      </c>
      <c r="C122" s="9" t="s">
        <v>156</v>
      </c>
      <c r="D122" s="9" t="s">
        <v>207</v>
      </c>
      <c r="E122" s="9">
        <v>6</v>
      </c>
      <c r="F12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2" s="27"/>
      <c r="H122" s="27"/>
      <c r="I122" s="27"/>
      <c r="J122" s="27"/>
      <c r="K122" s="27"/>
      <c r="L122" s="27"/>
    </row>
    <row r="123" spans="1:12" ht="18" hidden="1" x14ac:dyDescent="0.35">
      <c r="A123" s="9">
        <v>52415</v>
      </c>
      <c r="B123" s="9" t="s">
        <v>129</v>
      </c>
      <c r="C123" s="9" t="s">
        <v>100</v>
      </c>
      <c r="D123" s="9" t="s">
        <v>132</v>
      </c>
      <c r="E123" s="9">
        <v>12</v>
      </c>
      <c r="F12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3" s="27"/>
      <c r="H123" s="27"/>
      <c r="I123" s="27"/>
      <c r="J123" s="27"/>
      <c r="K123" s="27"/>
      <c r="L123" s="27"/>
    </row>
    <row r="124" spans="1:12" ht="18" hidden="1" x14ac:dyDescent="0.35">
      <c r="A124" s="9">
        <v>53020</v>
      </c>
      <c r="B124" s="9" t="s">
        <v>129</v>
      </c>
      <c r="C124" s="9" t="s">
        <v>100</v>
      </c>
      <c r="D124" s="9" t="s">
        <v>133</v>
      </c>
      <c r="E124" s="9">
        <v>6</v>
      </c>
      <c r="F12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4" s="27"/>
      <c r="H124" s="27"/>
      <c r="I124" s="27"/>
      <c r="J124" s="27"/>
      <c r="K124" s="27"/>
      <c r="L124" s="27"/>
    </row>
    <row r="125" spans="1:12" ht="18" hidden="1" x14ac:dyDescent="0.35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5" s="27"/>
      <c r="H125" s="27"/>
      <c r="I125" s="27"/>
      <c r="J125" s="27"/>
      <c r="K125" s="27"/>
      <c r="L125" s="27"/>
    </row>
    <row r="126" spans="1:12" ht="18" hidden="1" x14ac:dyDescent="0.35">
      <c r="A126" s="9">
        <v>53294</v>
      </c>
      <c r="B126" s="9" t="s">
        <v>210</v>
      </c>
      <c r="C126" s="9" t="s">
        <v>156</v>
      </c>
      <c r="D126" s="9" t="s">
        <v>213</v>
      </c>
      <c r="E126" s="9">
        <v>6</v>
      </c>
      <c r="F12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6" s="27"/>
      <c r="H126" s="27"/>
      <c r="I126" s="27"/>
      <c r="J126" s="27"/>
      <c r="K126" s="27"/>
      <c r="L126" s="27"/>
    </row>
    <row r="127" spans="1:12" ht="18" hidden="1" x14ac:dyDescent="0.35">
      <c r="A127" s="9">
        <v>53301</v>
      </c>
      <c r="B127" s="9" t="s">
        <v>44</v>
      </c>
      <c r="C127" s="9" t="s">
        <v>45</v>
      </c>
      <c r="D127" s="9" t="s">
        <v>47</v>
      </c>
      <c r="E127" s="9">
        <v>6</v>
      </c>
      <c r="F12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7" s="27"/>
      <c r="H127" s="27"/>
      <c r="I127" s="27"/>
      <c r="J127" s="27"/>
      <c r="K127" s="27"/>
      <c r="L127" s="27"/>
    </row>
    <row r="128" spans="1:12" ht="18" hidden="1" x14ac:dyDescent="0.35">
      <c r="A128" s="9">
        <v>53307</v>
      </c>
      <c r="B128" s="9" t="s">
        <v>215</v>
      </c>
      <c r="C128" s="9" t="s">
        <v>156</v>
      </c>
      <c r="D128" s="9" t="s">
        <v>216</v>
      </c>
      <c r="E128" s="9">
        <v>6</v>
      </c>
      <c r="F12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8" s="27"/>
      <c r="H128" s="27"/>
      <c r="I128" s="27"/>
      <c r="J128" s="27"/>
      <c r="K128" s="27"/>
      <c r="L128" s="27"/>
    </row>
    <row r="129" spans="1:12" ht="18" hidden="1" x14ac:dyDescent="0.35">
      <c r="A129" s="9">
        <v>54419</v>
      </c>
      <c r="B129" s="9" t="s">
        <v>23</v>
      </c>
      <c r="C129" s="9" t="s">
        <v>24</v>
      </c>
      <c r="D129" s="9" t="s">
        <v>28</v>
      </c>
      <c r="E129" s="9">
        <v>24</v>
      </c>
      <c r="F12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9" s="27"/>
      <c r="H129" s="27"/>
      <c r="I129" s="27"/>
      <c r="J129" s="27"/>
      <c r="K129" s="27"/>
      <c r="L129" s="27"/>
    </row>
    <row r="130" spans="1:12" ht="18" hidden="1" x14ac:dyDescent="0.35">
      <c r="A130" s="9">
        <v>54488</v>
      </c>
      <c r="B130" s="9" t="s">
        <v>147</v>
      </c>
      <c r="C130" s="9" t="s">
        <v>136</v>
      </c>
      <c r="D130" s="9" t="s">
        <v>152</v>
      </c>
      <c r="E130" s="9">
        <v>6</v>
      </c>
      <c r="F13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0" s="27"/>
      <c r="H130" s="27"/>
      <c r="I130" s="27"/>
      <c r="J130" s="27"/>
      <c r="K130" s="27"/>
      <c r="L130" s="27"/>
    </row>
    <row r="131" spans="1:12" ht="18" hidden="1" x14ac:dyDescent="0.35">
      <c r="A131" s="9">
        <v>54489</v>
      </c>
      <c r="B131" s="9" t="s">
        <v>147</v>
      </c>
      <c r="C131" s="9" t="s">
        <v>136</v>
      </c>
      <c r="D131" s="9" t="s">
        <v>153</v>
      </c>
      <c r="E131" s="9">
        <v>6</v>
      </c>
      <c r="F13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1" s="27"/>
      <c r="H131" s="27"/>
      <c r="I131" s="27"/>
      <c r="J131" s="27"/>
      <c r="K131" s="27"/>
      <c r="L131" s="27"/>
    </row>
    <row r="132" spans="1:12" ht="18" hidden="1" x14ac:dyDescent="0.35">
      <c r="A132" s="9">
        <v>54494</v>
      </c>
      <c r="B132" s="9" t="s">
        <v>178</v>
      </c>
      <c r="C132" s="9" t="s">
        <v>156</v>
      </c>
      <c r="D132" s="9" t="s">
        <v>185</v>
      </c>
      <c r="E132" s="9">
        <v>6</v>
      </c>
      <c r="F13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2" s="27"/>
      <c r="H132" s="27"/>
      <c r="I132" s="27"/>
      <c r="J132" s="27"/>
      <c r="K132" s="27"/>
      <c r="L132" s="27"/>
    </row>
    <row r="133" spans="1:12" ht="18" hidden="1" x14ac:dyDescent="0.35">
      <c r="A133" s="9">
        <v>55272</v>
      </c>
      <c r="B133" s="9" t="s">
        <v>99</v>
      </c>
      <c r="C133" s="9" t="s">
        <v>100</v>
      </c>
      <c r="D133" s="9" t="s">
        <v>102</v>
      </c>
      <c r="E133" s="9">
        <v>6</v>
      </c>
      <c r="F13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3" s="27"/>
      <c r="H133" s="27"/>
      <c r="I133" s="27"/>
      <c r="J133" s="27"/>
      <c r="K133" s="27"/>
      <c r="L133" s="27"/>
    </row>
    <row r="134" spans="1:12" ht="18" hidden="1" x14ac:dyDescent="0.35">
      <c r="A134" s="9">
        <v>55602</v>
      </c>
      <c r="B134" s="9" t="s">
        <v>226</v>
      </c>
      <c r="C134" s="9" t="s">
        <v>227</v>
      </c>
      <c r="D134" s="9" t="s">
        <v>233</v>
      </c>
      <c r="E134" s="9">
        <v>6</v>
      </c>
      <c r="F13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4" s="27"/>
      <c r="H134" s="27"/>
      <c r="I134" s="27"/>
      <c r="J134" s="27"/>
      <c r="K134" s="27"/>
      <c r="L134" s="27"/>
    </row>
    <row r="135" spans="1:12" ht="18" hidden="1" x14ac:dyDescent="0.35">
      <c r="A135" s="9">
        <v>55624</v>
      </c>
      <c r="B135" s="9" t="s">
        <v>99</v>
      </c>
      <c r="C135" s="9" t="s">
        <v>100</v>
      </c>
      <c r="D135" s="9" t="s">
        <v>110</v>
      </c>
      <c r="E135" s="9">
        <v>6</v>
      </c>
      <c r="F13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5" s="27"/>
      <c r="H135" s="27"/>
      <c r="I135" s="27"/>
      <c r="J135" s="27"/>
      <c r="K135" s="27"/>
      <c r="L135" s="27"/>
    </row>
    <row r="136" spans="1:12" ht="18" hidden="1" x14ac:dyDescent="0.35">
      <c r="A136" s="9">
        <v>55914</v>
      </c>
      <c r="B136" s="9" t="s">
        <v>50</v>
      </c>
      <c r="C136" s="9" t="s">
        <v>45</v>
      </c>
      <c r="D136" s="9" t="s">
        <v>52</v>
      </c>
      <c r="E136" s="9">
        <v>6</v>
      </c>
      <c r="F13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6" s="27"/>
      <c r="H136" s="27"/>
      <c r="I136" s="27"/>
      <c r="J136" s="27"/>
      <c r="K136" s="27"/>
      <c r="L136" s="27"/>
    </row>
    <row r="137" spans="1:12" ht="18" hidden="1" x14ac:dyDescent="0.35">
      <c r="A137" s="9">
        <v>56067</v>
      </c>
      <c r="B137" s="9" t="s">
        <v>129</v>
      </c>
      <c r="C137" s="9" t="s">
        <v>100</v>
      </c>
      <c r="D137" s="9" t="s">
        <v>130</v>
      </c>
      <c r="E137" s="9">
        <v>6</v>
      </c>
      <c r="F13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7" s="27"/>
      <c r="H137" s="27"/>
      <c r="I137" s="27"/>
      <c r="J137" s="27"/>
      <c r="K137" s="27"/>
      <c r="L137" s="27"/>
    </row>
    <row r="138" spans="1:12" ht="18" hidden="1" x14ac:dyDescent="0.35">
      <c r="A138" s="9">
        <v>56072</v>
      </c>
      <c r="B138" s="9" t="s">
        <v>226</v>
      </c>
      <c r="C138" s="9" t="s">
        <v>227</v>
      </c>
      <c r="D138" s="9" t="s">
        <v>229</v>
      </c>
      <c r="E138" s="9">
        <v>6</v>
      </c>
      <c r="F13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8" s="27"/>
      <c r="H138" s="27"/>
      <c r="I138" s="27"/>
      <c r="J138" s="27"/>
      <c r="K138" s="27"/>
      <c r="L138" s="27"/>
    </row>
    <row r="139" spans="1:12" ht="18" hidden="1" x14ac:dyDescent="0.35">
      <c r="A139" s="9">
        <v>56309</v>
      </c>
      <c r="B139" s="9" t="s">
        <v>118</v>
      </c>
      <c r="C139" s="9" t="s">
        <v>100</v>
      </c>
      <c r="D139" s="9" t="s">
        <v>126</v>
      </c>
      <c r="E139" s="9">
        <v>6</v>
      </c>
      <c r="F13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9" s="27"/>
      <c r="H139" s="27"/>
      <c r="I139" s="27"/>
      <c r="J139" s="27"/>
      <c r="K139" s="27"/>
      <c r="L139" s="27"/>
    </row>
    <row r="140" spans="1:12" ht="18" hidden="1" x14ac:dyDescent="0.35">
      <c r="A140" s="9">
        <v>56324</v>
      </c>
      <c r="B140" s="9" t="s">
        <v>226</v>
      </c>
      <c r="C140" s="9" t="s">
        <v>227</v>
      </c>
      <c r="D140" s="9" t="s">
        <v>231</v>
      </c>
      <c r="E140" s="9">
        <v>6</v>
      </c>
      <c r="F14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0" s="27"/>
      <c r="H140" s="27"/>
      <c r="I140" s="27"/>
      <c r="J140" s="27"/>
      <c r="K140" s="27"/>
      <c r="L140" s="27"/>
    </row>
    <row r="141" spans="1:12" ht="18" hidden="1" x14ac:dyDescent="0.35">
      <c r="A141" s="9">
        <v>56662</v>
      </c>
      <c r="B141" s="9" t="s">
        <v>99</v>
      </c>
      <c r="C141" s="9" t="s">
        <v>100</v>
      </c>
      <c r="D141" s="9" t="s">
        <v>103</v>
      </c>
      <c r="E141" s="9">
        <v>12</v>
      </c>
      <c r="F14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1" s="27"/>
      <c r="H141" s="27"/>
      <c r="I141" s="27"/>
      <c r="J141" s="27"/>
      <c r="K141" s="27"/>
      <c r="L141" s="27"/>
    </row>
    <row r="142" spans="1:12" ht="18" hidden="1" x14ac:dyDescent="0.35">
      <c r="A142" s="9">
        <v>57711</v>
      </c>
      <c r="B142" s="9" t="s">
        <v>240</v>
      </c>
      <c r="C142" s="9" t="s">
        <v>227</v>
      </c>
      <c r="D142" s="9" t="s">
        <v>242</v>
      </c>
      <c r="E142" s="9">
        <v>12</v>
      </c>
      <c r="F14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2" s="27"/>
      <c r="H142" s="27"/>
      <c r="I142" s="27"/>
      <c r="J142" s="27"/>
      <c r="K142" s="27"/>
      <c r="L142" s="27"/>
    </row>
    <row r="143" spans="1:12" ht="18" hidden="1" x14ac:dyDescent="0.35">
      <c r="A143" s="9">
        <v>58071</v>
      </c>
      <c r="B143" s="9" t="s">
        <v>171</v>
      </c>
      <c r="C143" s="9" t="s">
        <v>156</v>
      </c>
      <c r="D143" s="9" t="s">
        <v>177</v>
      </c>
      <c r="E143" s="9">
        <v>6</v>
      </c>
      <c r="F14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3" s="27"/>
      <c r="H143" s="27"/>
      <c r="I143" s="27"/>
      <c r="J143" s="27"/>
      <c r="K143" s="27"/>
      <c r="L143" s="27"/>
    </row>
    <row r="144" spans="1:12" ht="18" hidden="1" x14ac:dyDescent="0.35">
      <c r="A144" s="9">
        <v>58444</v>
      </c>
      <c r="B144" s="9" t="s">
        <v>178</v>
      </c>
      <c r="C144" s="9" t="s">
        <v>156</v>
      </c>
      <c r="D144" s="9" t="s">
        <v>183</v>
      </c>
      <c r="E144" s="9">
        <v>6</v>
      </c>
      <c r="F14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4" s="27"/>
      <c r="H144" s="27"/>
      <c r="I144" s="27"/>
      <c r="J144" s="27"/>
      <c r="K144" s="27"/>
      <c r="L144" s="27"/>
    </row>
    <row r="145" spans="1:12" ht="18" hidden="1" x14ac:dyDescent="0.35">
      <c r="A145" s="9">
        <v>58603</v>
      </c>
      <c r="B145" s="9" t="s">
        <v>243</v>
      </c>
      <c r="C145" s="9" t="s">
        <v>227</v>
      </c>
      <c r="D145" s="9" t="s">
        <v>246</v>
      </c>
      <c r="E145" s="9">
        <v>6</v>
      </c>
      <c r="F14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5" s="27"/>
      <c r="H145" s="27"/>
      <c r="I145" s="27"/>
      <c r="J145" s="27"/>
      <c r="K145" s="27"/>
      <c r="L145" s="27"/>
    </row>
    <row r="146" spans="1:12" ht="18" hidden="1" x14ac:dyDescent="0.35">
      <c r="A146" s="9">
        <v>58604</v>
      </c>
      <c r="B146" s="9" t="s">
        <v>118</v>
      </c>
      <c r="C146" s="9" t="s">
        <v>100</v>
      </c>
      <c r="D146" s="9" t="s">
        <v>123</v>
      </c>
      <c r="E146" s="9">
        <v>6</v>
      </c>
      <c r="F14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6" s="27"/>
      <c r="H146" s="27"/>
      <c r="I146" s="27"/>
      <c r="J146" s="27"/>
      <c r="K146" s="27"/>
      <c r="L146" s="27"/>
    </row>
    <row r="147" spans="1:12" ht="18" hidden="1" x14ac:dyDescent="0.35">
      <c r="A147" s="9">
        <v>58788</v>
      </c>
      <c r="B147" s="9" t="s">
        <v>139</v>
      </c>
      <c r="C147" s="9" t="s">
        <v>136</v>
      </c>
      <c r="D147" s="9" t="s">
        <v>141</v>
      </c>
      <c r="E147" s="9">
        <v>6</v>
      </c>
      <c r="F14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7" s="27"/>
      <c r="H147" s="27"/>
      <c r="I147" s="27"/>
      <c r="J147" s="27"/>
      <c r="K147" s="27"/>
      <c r="L147" s="27"/>
    </row>
    <row r="148" spans="1:12" ht="18" hidden="1" x14ac:dyDescent="0.35">
      <c r="A148" s="9">
        <v>58826</v>
      </c>
      <c r="B148" s="9" t="s">
        <v>111</v>
      </c>
      <c r="C148" s="9" t="s">
        <v>100</v>
      </c>
      <c r="D148" s="9" t="s">
        <v>112</v>
      </c>
      <c r="E148" s="9">
        <v>12</v>
      </c>
      <c r="F14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8" s="27"/>
      <c r="H148" s="27"/>
      <c r="I148" s="27"/>
      <c r="J148" s="27"/>
      <c r="K148" s="27"/>
      <c r="L148" s="27"/>
    </row>
    <row r="149" spans="1:12" ht="18" hidden="1" x14ac:dyDescent="0.35">
      <c r="A149" s="9">
        <v>59237</v>
      </c>
      <c r="B149" s="9" t="s">
        <v>23</v>
      </c>
      <c r="C149" s="9" t="s">
        <v>24</v>
      </c>
      <c r="D149" s="9" t="s">
        <v>26</v>
      </c>
      <c r="E149" s="9">
        <v>24</v>
      </c>
      <c r="F14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9" s="27"/>
      <c r="H149" s="27"/>
      <c r="I149" s="27"/>
      <c r="J149" s="27"/>
      <c r="K149" s="27"/>
      <c r="L149" s="27"/>
    </row>
    <row r="150" spans="1:12" ht="18" hidden="1" x14ac:dyDescent="0.35">
      <c r="A150" s="9">
        <v>60039</v>
      </c>
      <c r="B150" s="9" t="s">
        <v>23</v>
      </c>
      <c r="C150" s="9" t="s">
        <v>24</v>
      </c>
      <c r="D150" s="9" t="s">
        <v>29</v>
      </c>
      <c r="E150" s="9">
        <v>24</v>
      </c>
      <c r="F15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0" s="27"/>
      <c r="H150" s="27"/>
      <c r="I150" s="27"/>
      <c r="J150" s="27"/>
      <c r="K150" s="27"/>
      <c r="L150" s="27"/>
    </row>
    <row r="151" spans="1:12" ht="18" hidden="1" x14ac:dyDescent="0.35">
      <c r="A151" s="9">
        <v>60404</v>
      </c>
      <c r="B151" s="9" t="s">
        <v>147</v>
      </c>
      <c r="C151" s="9" t="s">
        <v>136</v>
      </c>
      <c r="D151" s="9" t="s">
        <v>149</v>
      </c>
      <c r="E151" s="9">
        <v>6</v>
      </c>
      <c r="F15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1" s="27"/>
      <c r="H151" s="27"/>
      <c r="I151" s="27"/>
      <c r="J151" s="27"/>
      <c r="K151" s="27"/>
      <c r="L151" s="27"/>
    </row>
    <row r="152" spans="1:12" ht="18" hidden="1" x14ac:dyDescent="0.35">
      <c r="A152" s="9">
        <v>60612</v>
      </c>
      <c r="B152" s="9" t="s">
        <v>31</v>
      </c>
      <c r="C152" s="9" t="s">
        <v>24</v>
      </c>
      <c r="D152" s="9" t="s">
        <v>32</v>
      </c>
      <c r="E152" s="9">
        <v>24</v>
      </c>
      <c r="F15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2" s="27"/>
      <c r="H152" s="27"/>
      <c r="I152" s="27"/>
      <c r="J152" s="27"/>
      <c r="K152" s="27"/>
      <c r="L152" s="27"/>
    </row>
    <row r="153" spans="1:12" ht="18" hidden="1" x14ac:dyDescent="0.35">
      <c r="A153" s="9">
        <v>61492</v>
      </c>
      <c r="B153" s="9" t="s">
        <v>70</v>
      </c>
      <c r="C153" s="9" t="s">
        <v>54</v>
      </c>
      <c r="D153" s="9" t="s">
        <v>71</v>
      </c>
      <c r="E153" s="9">
        <v>12</v>
      </c>
      <c r="F15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3" s="27"/>
      <c r="H153" s="27"/>
      <c r="I153" s="27"/>
      <c r="J153" s="27"/>
      <c r="K153" s="27"/>
      <c r="L153" s="27"/>
    </row>
    <row r="154" spans="1:12" ht="18" hidden="1" x14ac:dyDescent="0.35">
      <c r="A154" s="9">
        <v>62755</v>
      </c>
      <c r="B154" s="9" t="s">
        <v>53</v>
      </c>
      <c r="C154" s="9" t="s">
        <v>54</v>
      </c>
      <c r="D154" s="9" t="s">
        <v>58</v>
      </c>
      <c r="E154" s="9">
        <v>6</v>
      </c>
      <c r="F15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4" s="27"/>
      <c r="H154" s="27"/>
      <c r="I154" s="27"/>
      <c r="J154" s="27"/>
      <c r="K154" s="27"/>
      <c r="L154" s="27"/>
    </row>
    <row r="155" spans="1:12" ht="18" hidden="1" x14ac:dyDescent="0.35">
      <c r="A155" s="9">
        <v>62944</v>
      </c>
      <c r="B155" s="9" t="s">
        <v>118</v>
      </c>
      <c r="C155" s="9" t="s">
        <v>100</v>
      </c>
      <c r="D155" s="9" t="s">
        <v>124</v>
      </c>
      <c r="E155" s="9">
        <v>6</v>
      </c>
      <c r="F15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5" s="27"/>
      <c r="H155" s="27"/>
      <c r="I155" s="27"/>
      <c r="J155" s="27"/>
      <c r="K155" s="27"/>
      <c r="L155" s="27"/>
    </row>
    <row r="156" spans="1:12" ht="18" hidden="1" x14ac:dyDescent="0.35">
      <c r="A156" s="9">
        <v>63102</v>
      </c>
      <c r="B156" s="9" t="s">
        <v>118</v>
      </c>
      <c r="C156" s="9" t="s">
        <v>100</v>
      </c>
      <c r="D156" s="9" t="s">
        <v>121</v>
      </c>
      <c r="E156" s="9">
        <v>6</v>
      </c>
      <c r="F15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6" s="27"/>
      <c r="H156" s="27"/>
      <c r="I156" s="27"/>
      <c r="J156" s="27"/>
      <c r="K156" s="27"/>
      <c r="L156" s="27"/>
    </row>
    <row r="157" spans="1:12" ht="18" hidden="1" x14ac:dyDescent="0.35">
      <c r="A157" s="9">
        <v>63299</v>
      </c>
      <c r="B157" s="9" t="s">
        <v>147</v>
      </c>
      <c r="C157" s="9" t="s">
        <v>136</v>
      </c>
      <c r="D157" s="9" t="s">
        <v>148</v>
      </c>
      <c r="E157" s="9">
        <v>6</v>
      </c>
      <c r="F15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7" s="27"/>
      <c r="H157" s="27"/>
      <c r="I157" s="27"/>
      <c r="J157" s="27"/>
      <c r="K157" s="27"/>
      <c r="L157" s="27"/>
    </row>
    <row r="158" spans="1:12" ht="18" hidden="1" x14ac:dyDescent="0.35">
      <c r="A158" s="9">
        <v>63301</v>
      </c>
      <c r="B158" s="9" t="s">
        <v>129</v>
      </c>
      <c r="C158" s="9" t="s">
        <v>100</v>
      </c>
      <c r="D158" s="9" t="s">
        <v>131</v>
      </c>
      <c r="E158" s="9">
        <v>6</v>
      </c>
      <c r="F15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8" s="27"/>
      <c r="H158" s="27"/>
      <c r="I158" s="27"/>
      <c r="J158" s="27"/>
      <c r="K158" s="27"/>
      <c r="L158" s="27"/>
    </row>
    <row r="159" spans="1:12" ht="18" hidden="1" x14ac:dyDescent="0.35">
      <c r="A159" s="9">
        <v>64212</v>
      </c>
      <c r="B159" s="9" t="s">
        <v>23</v>
      </c>
      <c r="C159" s="9" t="s">
        <v>24</v>
      </c>
      <c r="D159" s="9" t="s">
        <v>27</v>
      </c>
      <c r="E159" s="9">
        <v>24</v>
      </c>
      <c r="F15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9" s="27"/>
      <c r="H159" s="27"/>
      <c r="I159" s="27"/>
      <c r="J159" s="27"/>
      <c r="K159" s="27"/>
      <c r="L159" s="27"/>
    </row>
    <row r="160" spans="1:12" ht="18" hidden="1" x14ac:dyDescent="0.35">
      <c r="A160" s="9">
        <v>64469</v>
      </c>
      <c r="B160" s="9" t="s">
        <v>226</v>
      </c>
      <c r="C160" s="9" t="s">
        <v>227</v>
      </c>
      <c r="D160" s="9" t="s">
        <v>228</v>
      </c>
      <c r="E160" s="9">
        <v>6</v>
      </c>
      <c r="F16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0" s="27"/>
      <c r="H160" s="27"/>
      <c r="I160" s="27"/>
      <c r="J160" s="27"/>
      <c r="K160" s="27"/>
      <c r="L160" s="27"/>
    </row>
    <row r="161" spans="1:12" ht="18" hidden="1" x14ac:dyDescent="0.35">
      <c r="A161" s="9">
        <v>64873</v>
      </c>
      <c r="B161" s="9" t="s">
        <v>114</v>
      </c>
      <c r="C161" s="9" t="s">
        <v>100</v>
      </c>
      <c r="D161" s="9" t="s">
        <v>116</v>
      </c>
      <c r="E161" s="9">
        <v>6</v>
      </c>
      <c r="F16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1" s="27"/>
      <c r="H161" s="27"/>
      <c r="I161" s="27"/>
      <c r="J161" s="27"/>
      <c r="K161" s="27"/>
      <c r="L161" s="27"/>
    </row>
    <row r="162" spans="1:12" ht="18" hidden="1" x14ac:dyDescent="0.35">
      <c r="A162" s="9">
        <v>64906</v>
      </c>
      <c r="B162" s="9" t="s">
        <v>92</v>
      </c>
      <c r="C162" s="9" t="s">
        <v>54</v>
      </c>
      <c r="D162" s="9" t="s">
        <v>93</v>
      </c>
      <c r="E162" s="9">
        <v>6</v>
      </c>
      <c r="F16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2" s="27"/>
      <c r="H162" s="27"/>
      <c r="I162" s="27"/>
      <c r="J162" s="27"/>
      <c r="K162" s="27"/>
      <c r="L162" s="27"/>
    </row>
    <row r="163" spans="1:12" ht="18" hidden="1" x14ac:dyDescent="0.35">
      <c r="A163" s="9">
        <v>65135</v>
      </c>
      <c r="B163" s="9" t="s">
        <v>61</v>
      </c>
      <c r="C163" s="9" t="s">
        <v>54</v>
      </c>
      <c r="D163" s="9" t="s">
        <v>68</v>
      </c>
      <c r="E163" s="9">
        <v>6</v>
      </c>
      <c r="F16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3" s="27"/>
      <c r="H163" s="27"/>
      <c r="I163" s="27"/>
      <c r="J163" s="27"/>
      <c r="K163" s="27"/>
      <c r="L163" s="27"/>
    </row>
    <row r="164" spans="1:12" ht="18" hidden="1" x14ac:dyDescent="0.35">
      <c r="A164" s="9">
        <v>65226</v>
      </c>
      <c r="B164" s="9" t="s">
        <v>118</v>
      </c>
      <c r="C164" s="9" t="s">
        <v>100</v>
      </c>
      <c r="D164" s="9" t="s">
        <v>127</v>
      </c>
      <c r="E164" s="9">
        <v>6</v>
      </c>
      <c r="F16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4" s="27"/>
      <c r="H164" s="27"/>
      <c r="I164" s="27"/>
      <c r="J164" s="27"/>
      <c r="K164" s="27"/>
      <c r="L164" s="27"/>
    </row>
    <row r="165" spans="1:12" ht="18" hidden="1" x14ac:dyDescent="0.35">
      <c r="A165" s="9">
        <v>66213</v>
      </c>
      <c r="B165" s="9" t="s">
        <v>61</v>
      </c>
      <c r="C165" s="9" t="s">
        <v>54</v>
      </c>
      <c r="D165" s="9" t="s">
        <v>69</v>
      </c>
      <c r="E165" s="9">
        <v>6</v>
      </c>
      <c r="F16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5" s="27"/>
      <c r="H165" s="27"/>
      <c r="I165" s="27"/>
      <c r="J165" s="27"/>
      <c r="K165" s="27"/>
      <c r="L165" s="27"/>
    </row>
    <row r="166" spans="1:12" ht="18" hidden="1" x14ac:dyDescent="0.35">
      <c r="A166" s="9">
        <v>66549</v>
      </c>
      <c r="B166" s="9" t="s">
        <v>23</v>
      </c>
      <c r="C166" s="9" t="s">
        <v>24</v>
      </c>
      <c r="D166" s="9" t="s">
        <v>25</v>
      </c>
      <c r="E166" s="9">
        <v>24</v>
      </c>
      <c r="F16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6" s="27"/>
      <c r="H166" s="27"/>
      <c r="I166" s="27"/>
      <c r="J166" s="27"/>
      <c r="K166" s="27"/>
      <c r="L166" s="27"/>
    </row>
    <row r="167" spans="1:12" ht="18" hidden="1" x14ac:dyDescent="0.35">
      <c r="A167" s="9">
        <v>67145</v>
      </c>
      <c r="B167" s="9" t="s">
        <v>42</v>
      </c>
      <c r="C167" s="9" t="s">
        <v>24</v>
      </c>
      <c r="D167" s="9" t="s">
        <v>43</v>
      </c>
      <c r="E167" s="9">
        <v>24</v>
      </c>
      <c r="F16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7" s="27"/>
      <c r="H167" s="27"/>
      <c r="I167" s="27"/>
      <c r="J167" s="27"/>
      <c r="K167" s="27"/>
      <c r="L167" s="27"/>
    </row>
    <row r="168" spans="1:12" ht="18" hidden="1" x14ac:dyDescent="0.35">
      <c r="A168" s="9">
        <v>67291</v>
      </c>
      <c r="B168" s="9" t="s">
        <v>240</v>
      </c>
      <c r="C168" s="9" t="s">
        <v>227</v>
      </c>
      <c r="D168" s="9" t="s">
        <v>241</v>
      </c>
      <c r="E168" s="9">
        <v>6</v>
      </c>
      <c r="F16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8" s="27"/>
      <c r="H168" s="27"/>
      <c r="I168" s="27"/>
      <c r="J168" s="27"/>
      <c r="K168" s="27"/>
      <c r="L168" s="27"/>
    </row>
    <row r="169" spans="1:12" ht="18" hidden="1" x14ac:dyDescent="0.35">
      <c r="A169" s="9">
        <v>67317</v>
      </c>
      <c r="B169" s="9" t="s">
        <v>135</v>
      </c>
      <c r="C169" s="9" t="s">
        <v>136</v>
      </c>
      <c r="D169" s="9" t="s">
        <v>138</v>
      </c>
      <c r="E169" s="9">
        <v>6</v>
      </c>
      <c r="F16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9" s="27"/>
      <c r="H169" s="27"/>
      <c r="I169" s="27"/>
      <c r="J169" s="27"/>
      <c r="K169" s="27"/>
      <c r="L169" s="27"/>
    </row>
    <row r="170" spans="1:12" ht="18" hidden="1" x14ac:dyDescent="0.35">
      <c r="A170" s="9">
        <v>67349</v>
      </c>
      <c r="B170" s="9" t="s">
        <v>118</v>
      </c>
      <c r="C170" s="9" t="s">
        <v>100</v>
      </c>
      <c r="D170" s="9" t="s">
        <v>125</v>
      </c>
      <c r="E170" s="9">
        <v>6</v>
      </c>
      <c r="F17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0" s="27"/>
      <c r="H170" s="27"/>
      <c r="I170" s="27"/>
      <c r="J170" s="27"/>
      <c r="K170" s="27"/>
      <c r="L170" s="27"/>
    </row>
    <row r="171" spans="1:12" ht="18" hidden="1" x14ac:dyDescent="0.35">
      <c r="A171" s="9">
        <v>67826</v>
      </c>
      <c r="B171" s="9" t="s">
        <v>61</v>
      </c>
      <c r="C171" s="9" t="s">
        <v>54</v>
      </c>
      <c r="D171" s="9" t="s">
        <v>62</v>
      </c>
      <c r="E171" s="9">
        <v>24</v>
      </c>
      <c r="F17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1" s="27"/>
      <c r="H171" s="27"/>
      <c r="I171" s="27"/>
      <c r="J171" s="27"/>
      <c r="K171" s="27"/>
      <c r="L171" s="27"/>
    </row>
    <row r="172" spans="1:12" ht="18" hidden="1" x14ac:dyDescent="0.35">
      <c r="A172" s="9">
        <v>67827</v>
      </c>
      <c r="B172" s="9" t="s">
        <v>61</v>
      </c>
      <c r="C172" s="9" t="s">
        <v>54</v>
      </c>
      <c r="D172" s="9" t="s">
        <v>67</v>
      </c>
      <c r="E172" s="9">
        <v>24</v>
      </c>
      <c r="F17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2" s="27"/>
      <c r="H172" s="27"/>
      <c r="I172" s="27"/>
      <c r="J172" s="27"/>
      <c r="K172" s="27"/>
      <c r="L172" s="27"/>
    </row>
    <row r="173" spans="1:12" ht="18" hidden="1" x14ac:dyDescent="0.35">
      <c r="A173" s="9">
        <v>68571</v>
      </c>
      <c r="B173" s="9" t="s">
        <v>53</v>
      </c>
      <c r="C173" s="9" t="s">
        <v>54</v>
      </c>
      <c r="D173" s="9" t="s">
        <v>55</v>
      </c>
      <c r="E173" s="9">
        <v>12</v>
      </c>
      <c r="F17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3" s="27"/>
      <c r="H173" s="27"/>
      <c r="I173" s="27"/>
      <c r="J173" s="27"/>
      <c r="K173" s="27"/>
      <c r="L173" s="27"/>
    </row>
    <row r="174" spans="1:12" ht="18" hidden="1" x14ac:dyDescent="0.35">
      <c r="A174" s="9">
        <v>69117</v>
      </c>
      <c r="B174" s="9" t="s">
        <v>99</v>
      </c>
      <c r="C174" s="9" t="s">
        <v>100</v>
      </c>
      <c r="D174" s="9" t="s">
        <v>106</v>
      </c>
      <c r="E174" s="9">
        <v>6</v>
      </c>
      <c r="F17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4" s="27"/>
      <c r="H174" s="27"/>
      <c r="I174" s="27"/>
      <c r="J174" s="27"/>
      <c r="K174" s="27"/>
      <c r="L174" s="27"/>
    </row>
    <row r="175" spans="1:12" ht="18" hidden="1" x14ac:dyDescent="0.35">
      <c r="A175" s="9">
        <v>69451</v>
      </c>
      <c r="B175" s="9" t="s">
        <v>99</v>
      </c>
      <c r="C175" s="9" t="s">
        <v>100</v>
      </c>
      <c r="D175" s="9" t="s">
        <v>101</v>
      </c>
      <c r="E175" s="9">
        <v>6</v>
      </c>
      <c r="F17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5" s="27"/>
      <c r="H175" s="27"/>
      <c r="I175" s="27"/>
      <c r="J175" s="27"/>
      <c r="K175" s="27"/>
      <c r="L175" s="27"/>
    </row>
    <row r="176" spans="1:12" ht="18" hidden="1" x14ac:dyDescent="0.35">
      <c r="A176" s="9">
        <v>69467</v>
      </c>
      <c r="B176" s="9" t="s">
        <v>79</v>
      </c>
      <c r="C176" s="9" t="s">
        <v>54</v>
      </c>
      <c r="D176" s="9" t="s">
        <v>84</v>
      </c>
      <c r="E176" s="9">
        <v>24</v>
      </c>
      <c r="F17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6" s="27"/>
      <c r="H176" s="27"/>
      <c r="I176" s="27"/>
      <c r="J176" s="27"/>
      <c r="K176" s="27"/>
      <c r="L176" s="27"/>
    </row>
    <row r="177" spans="1:12" ht="18" x14ac:dyDescent="0.35">
      <c r="A177" s="9">
        <v>69492</v>
      </c>
      <c r="B177" s="9" t="s">
        <v>72</v>
      </c>
      <c r="C177" s="9" t="s">
        <v>54</v>
      </c>
      <c r="D177" s="9" t="s">
        <v>73</v>
      </c>
      <c r="E177" s="9">
        <v>1</v>
      </c>
      <c r="F17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7" s="27"/>
      <c r="H177" s="27"/>
      <c r="I177" s="27"/>
      <c r="J177" s="27"/>
      <c r="K177" s="27"/>
      <c r="L177" s="27"/>
    </row>
    <row r="178" spans="1:12" ht="18" hidden="1" x14ac:dyDescent="0.35">
      <c r="A178" s="9">
        <v>69493</v>
      </c>
      <c r="B178" s="9" t="s">
        <v>79</v>
      </c>
      <c r="C178" s="9" t="s">
        <v>54</v>
      </c>
      <c r="D178" s="9" t="s">
        <v>83</v>
      </c>
      <c r="E178" s="9">
        <v>24</v>
      </c>
      <c r="F17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8" s="27"/>
      <c r="H178" s="27"/>
      <c r="I178" s="27"/>
      <c r="J178" s="27"/>
      <c r="K178" s="27"/>
      <c r="L178" s="27"/>
    </row>
    <row r="179" spans="1:12" ht="18" x14ac:dyDescent="0.35">
      <c r="A179" s="9">
        <v>69496</v>
      </c>
      <c r="B179" s="9" t="s">
        <v>72</v>
      </c>
      <c r="C179" s="9" t="s">
        <v>54</v>
      </c>
      <c r="D179" s="9" t="s">
        <v>74</v>
      </c>
      <c r="E179" s="9">
        <v>1</v>
      </c>
      <c r="F17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9" s="27"/>
      <c r="H179" s="27"/>
      <c r="I179" s="27"/>
      <c r="J179" s="27"/>
      <c r="K179" s="27"/>
      <c r="L179" s="27"/>
    </row>
    <row r="180" spans="1:12" ht="18" hidden="1" x14ac:dyDescent="0.35">
      <c r="A180" s="9">
        <v>69500</v>
      </c>
      <c r="B180" s="9" t="s">
        <v>79</v>
      </c>
      <c r="C180" s="9" t="s">
        <v>54</v>
      </c>
      <c r="D180" s="9" t="s">
        <v>88</v>
      </c>
      <c r="E180" s="9">
        <v>24</v>
      </c>
      <c r="F18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0" s="27"/>
      <c r="H180" s="27"/>
      <c r="I180" s="27"/>
      <c r="J180" s="27"/>
      <c r="K180" s="27"/>
      <c r="L180" s="27"/>
    </row>
    <row r="181" spans="1:12" ht="18" x14ac:dyDescent="0.35">
      <c r="A181" s="9">
        <v>69510</v>
      </c>
      <c r="B181" s="9" t="s">
        <v>72</v>
      </c>
      <c r="C181" s="9" t="s">
        <v>54</v>
      </c>
      <c r="D181" s="9" t="s">
        <v>75</v>
      </c>
      <c r="E181" s="9">
        <v>1</v>
      </c>
      <c r="F18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1" s="27"/>
      <c r="H181" s="27"/>
      <c r="I181" s="27"/>
      <c r="J181" s="27"/>
      <c r="K181" s="27"/>
      <c r="L181" s="27"/>
    </row>
    <row r="182" spans="1:12" ht="18" hidden="1" x14ac:dyDescent="0.35">
      <c r="A182" s="9">
        <v>69502</v>
      </c>
      <c r="B182" s="9" t="s">
        <v>79</v>
      </c>
      <c r="C182" s="9" t="s">
        <v>54</v>
      </c>
      <c r="D182" s="9" t="s">
        <v>89</v>
      </c>
      <c r="E182" s="9">
        <v>24</v>
      </c>
      <c r="F18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2" s="27"/>
      <c r="H182" s="27"/>
      <c r="I182" s="27"/>
      <c r="J182" s="27"/>
      <c r="K182" s="27"/>
      <c r="L182" s="27"/>
    </row>
    <row r="183" spans="1:12" ht="18" x14ac:dyDescent="0.35">
      <c r="A183" s="9">
        <v>69501</v>
      </c>
      <c r="B183" s="9" t="s">
        <v>72</v>
      </c>
      <c r="C183" s="9" t="s">
        <v>54</v>
      </c>
      <c r="D183" s="9" t="s">
        <v>76</v>
      </c>
      <c r="E183" s="9">
        <v>1</v>
      </c>
      <c r="F18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3" s="27"/>
      <c r="H183" s="27"/>
      <c r="I183" s="27"/>
      <c r="J183" s="27"/>
      <c r="K183" s="27"/>
      <c r="L183" s="27"/>
    </row>
    <row r="184" spans="1:12" ht="18" hidden="1" x14ac:dyDescent="0.35">
      <c r="A184" s="9">
        <v>69505</v>
      </c>
      <c r="B184" s="9" t="s">
        <v>79</v>
      </c>
      <c r="C184" s="9" t="s">
        <v>54</v>
      </c>
      <c r="D184" s="9" t="s">
        <v>87</v>
      </c>
      <c r="E184" s="9">
        <v>24</v>
      </c>
      <c r="F18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4" s="27"/>
      <c r="H184" s="27"/>
      <c r="I184" s="27"/>
      <c r="J184" s="27"/>
      <c r="K184" s="27"/>
      <c r="L184" s="27"/>
    </row>
    <row r="185" spans="1:12" ht="18" x14ac:dyDescent="0.35">
      <c r="A185" s="9">
        <v>69504</v>
      </c>
      <c r="B185" s="9" t="s">
        <v>72</v>
      </c>
      <c r="C185" s="9" t="s">
        <v>54</v>
      </c>
      <c r="D185" s="9" t="s">
        <v>77</v>
      </c>
      <c r="E185" s="9">
        <v>1</v>
      </c>
      <c r="F18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5" s="27"/>
      <c r="H185" s="27"/>
      <c r="I185" s="27"/>
      <c r="J185" s="27"/>
      <c r="K185" s="27"/>
      <c r="L185" s="27"/>
    </row>
    <row r="186" spans="1:12" ht="18" hidden="1" x14ac:dyDescent="0.35">
      <c r="A186" s="9">
        <v>69509</v>
      </c>
      <c r="B186" s="9" t="s">
        <v>79</v>
      </c>
      <c r="C186" s="9" t="s">
        <v>54</v>
      </c>
      <c r="D186" s="9" t="s">
        <v>90</v>
      </c>
      <c r="E186" s="9">
        <v>24</v>
      </c>
      <c r="F18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6" s="27"/>
      <c r="H186" s="27"/>
      <c r="I186" s="27"/>
      <c r="J186" s="27"/>
      <c r="K186" s="27"/>
      <c r="L186" s="27"/>
    </row>
    <row r="187" spans="1:12" ht="18" x14ac:dyDescent="0.35">
      <c r="A187" s="9">
        <v>69506</v>
      </c>
      <c r="B187" s="9" t="s">
        <v>72</v>
      </c>
      <c r="C187" s="9" t="s">
        <v>54</v>
      </c>
      <c r="D187" s="9" t="s">
        <v>78</v>
      </c>
      <c r="E187" s="9">
        <v>1</v>
      </c>
      <c r="F18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7" s="27"/>
      <c r="H187" s="27"/>
      <c r="I187" s="27"/>
      <c r="J187" s="27"/>
      <c r="K187" s="27"/>
      <c r="L187" s="27"/>
    </row>
    <row r="188" spans="1:12" ht="18" hidden="1" x14ac:dyDescent="0.35">
      <c r="A188" s="9">
        <v>69689</v>
      </c>
      <c r="B188" s="9" t="s">
        <v>23</v>
      </c>
      <c r="C188" s="9" t="s">
        <v>24</v>
      </c>
      <c r="D188" s="9" t="s">
        <v>30</v>
      </c>
      <c r="E188" s="9">
        <v>24</v>
      </c>
      <c r="F18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8" s="27"/>
      <c r="H188" s="27"/>
      <c r="I188" s="27"/>
      <c r="J188" s="27"/>
      <c r="K188" s="27"/>
      <c r="L188" s="27"/>
    </row>
    <row r="189" spans="1:12" ht="18" hidden="1" x14ac:dyDescent="0.35">
      <c r="A189" s="9">
        <v>69822</v>
      </c>
      <c r="B189" s="9" t="s">
        <v>79</v>
      </c>
      <c r="C189" s="9" t="s">
        <v>54</v>
      </c>
      <c r="D189" s="9" t="s">
        <v>91</v>
      </c>
      <c r="E189" s="9">
        <v>24</v>
      </c>
      <c r="F18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9" s="27"/>
      <c r="H189" s="27"/>
      <c r="I189" s="27"/>
      <c r="J189" s="27"/>
      <c r="K189" s="27"/>
      <c r="L189" s="27"/>
    </row>
    <row r="190" spans="1:12" ht="18" hidden="1" x14ac:dyDescent="0.35">
      <c r="A190" s="9">
        <v>70373</v>
      </c>
      <c r="B190" s="9" t="s">
        <v>53</v>
      </c>
      <c r="C190" s="9" t="s">
        <v>54</v>
      </c>
      <c r="D190" s="9" t="s">
        <v>56</v>
      </c>
      <c r="E190" s="9">
        <v>6</v>
      </c>
      <c r="F19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0" s="27"/>
      <c r="H190" s="27"/>
      <c r="I190" s="27"/>
      <c r="J190" s="27"/>
      <c r="K190" s="27"/>
      <c r="L190" s="27"/>
    </row>
    <row r="191" spans="1:12" ht="18" hidden="1" x14ac:dyDescent="0.35">
      <c r="A191" s="9">
        <v>70383</v>
      </c>
      <c r="B191" s="9" t="s">
        <v>53</v>
      </c>
      <c r="C191" s="9" t="s">
        <v>54</v>
      </c>
      <c r="D191" s="9" t="s">
        <v>57</v>
      </c>
      <c r="E191" s="9">
        <v>6</v>
      </c>
      <c r="F19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1" s="27"/>
      <c r="H191" s="27"/>
      <c r="I191" s="27"/>
      <c r="J191" s="27"/>
      <c r="K191" s="27"/>
      <c r="L191" s="27"/>
    </row>
    <row r="192" spans="1:12" ht="18" hidden="1" x14ac:dyDescent="0.35">
      <c r="A192" s="9">
        <v>116290</v>
      </c>
      <c r="B192" s="9" t="s">
        <v>215</v>
      </c>
      <c r="C192" s="9" t="s">
        <v>156</v>
      </c>
      <c r="D192" s="9" t="s">
        <v>219</v>
      </c>
      <c r="E192" s="9">
        <v>6</v>
      </c>
      <c r="F19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2" s="27"/>
      <c r="H192" s="27"/>
      <c r="I192" s="27"/>
      <c r="J192" s="27"/>
      <c r="K192" s="27"/>
      <c r="L192" s="27"/>
    </row>
    <row r="193" spans="1:12" ht="18" hidden="1" x14ac:dyDescent="0.35">
      <c r="A193" s="9">
        <v>116393</v>
      </c>
      <c r="B193" s="9" t="s">
        <v>33</v>
      </c>
      <c r="C193" s="9" t="s">
        <v>24</v>
      </c>
      <c r="D193" s="9" t="s">
        <v>36</v>
      </c>
      <c r="E193" s="9">
        <v>24</v>
      </c>
      <c r="F19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214C-052A-4335-9449-CBD238E09E79}">
  <sheetPr codeName="Sheet17"/>
  <dimension ref="A1:L193"/>
  <sheetViews>
    <sheetView workbookViewId="0">
      <pane ySplit="176" topLeftCell="A177" activePane="bottomLeft" state="frozen"/>
      <selection pane="bottomLeft"/>
    </sheetView>
  </sheetViews>
  <sheetFormatPr defaultRowHeight="14.4" x14ac:dyDescent="0.3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" hidden="1" x14ac:dyDescent="0.3">
      <c r="A2" s="9">
        <v>9</v>
      </c>
      <c r="B2" s="9" t="s">
        <v>166</v>
      </c>
      <c r="C2" s="9" t="s">
        <v>156</v>
      </c>
      <c r="D2" s="9" t="s">
        <v>167</v>
      </c>
      <c r="E2" s="9">
        <v>6</v>
      </c>
      <c r="F2" s="29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" s="27"/>
      <c r="H2" s="27"/>
      <c r="I2" s="27"/>
      <c r="J2" s="27"/>
      <c r="K2" s="27"/>
      <c r="L2" s="27"/>
    </row>
    <row r="3" spans="1:12" ht="18" hidden="1" x14ac:dyDescent="0.35">
      <c r="A3" s="9">
        <v>16</v>
      </c>
      <c r="B3" s="9" t="s">
        <v>158</v>
      </c>
      <c r="C3" s="9" t="s">
        <v>156</v>
      </c>
      <c r="D3" s="9" t="s">
        <v>160</v>
      </c>
      <c r="E3" s="9">
        <v>6</v>
      </c>
      <c r="F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" s="27"/>
      <c r="H3" s="27"/>
      <c r="I3" s="27"/>
      <c r="J3" s="27"/>
      <c r="K3" s="27"/>
      <c r="L3" s="27"/>
    </row>
    <row r="4" spans="1:12" ht="18" hidden="1" x14ac:dyDescent="0.35">
      <c r="A4" s="9">
        <v>30</v>
      </c>
      <c r="B4" s="9" t="s">
        <v>171</v>
      </c>
      <c r="C4" s="9" t="s">
        <v>156</v>
      </c>
      <c r="D4" s="9" t="s">
        <v>176</v>
      </c>
      <c r="E4" s="9">
        <v>6</v>
      </c>
      <c r="F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" s="27"/>
      <c r="H4" s="27"/>
      <c r="I4" s="27"/>
      <c r="J4" s="27"/>
      <c r="K4" s="27"/>
      <c r="L4" s="27"/>
    </row>
    <row r="5" spans="1:12" ht="18" hidden="1" x14ac:dyDescent="0.35">
      <c r="A5" s="9">
        <v>33</v>
      </c>
      <c r="B5" s="9" t="s">
        <v>215</v>
      </c>
      <c r="C5" s="9" t="s">
        <v>156</v>
      </c>
      <c r="D5" s="9" t="s">
        <v>223</v>
      </c>
      <c r="E5" s="9">
        <v>12</v>
      </c>
      <c r="F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" s="27"/>
      <c r="H5" s="27"/>
      <c r="I5" s="27"/>
      <c r="J5" s="27"/>
      <c r="K5" s="27"/>
      <c r="L5" s="27"/>
    </row>
    <row r="6" spans="1:12" ht="18" hidden="1" x14ac:dyDescent="0.35">
      <c r="A6" s="9">
        <v>53</v>
      </c>
      <c r="B6" s="9" t="s">
        <v>166</v>
      </c>
      <c r="C6" s="9" t="s">
        <v>156</v>
      </c>
      <c r="D6" s="9" t="s">
        <v>169</v>
      </c>
      <c r="E6" s="9">
        <v>6</v>
      </c>
      <c r="F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" s="27"/>
      <c r="H6" s="27"/>
      <c r="I6" s="27"/>
      <c r="J6" s="27"/>
      <c r="K6" s="27"/>
      <c r="L6" s="27"/>
    </row>
    <row r="7" spans="1:12" ht="18" hidden="1" x14ac:dyDescent="0.35">
      <c r="A7" s="9">
        <v>66</v>
      </c>
      <c r="B7" s="9" t="s">
        <v>178</v>
      </c>
      <c r="C7" s="9" t="s">
        <v>156</v>
      </c>
      <c r="D7" s="9" t="s">
        <v>187</v>
      </c>
      <c r="E7" s="9">
        <v>6</v>
      </c>
      <c r="F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" s="27"/>
      <c r="H7" s="27"/>
      <c r="I7" s="27"/>
      <c r="J7" s="27"/>
      <c r="K7" s="27"/>
      <c r="L7" s="27"/>
    </row>
    <row r="8" spans="1:12" ht="18" hidden="1" x14ac:dyDescent="0.35">
      <c r="A8" s="9">
        <v>90</v>
      </c>
      <c r="B8" s="9" t="s">
        <v>155</v>
      </c>
      <c r="C8" s="9" t="s">
        <v>156</v>
      </c>
      <c r="D8" s="9" t="s">
        <v>157</v>
      </c>
      <c r="E8" s="9">
        <v>6</v>
      </c>
      <c r="F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" s="27"/>
      <c r="H8" s="27"/>
      <c r="I8" s="27"/>
      <c r="J8" s="27"/>
      <c r="K8" s="27"/>
      <c r="L8" s="27"/>
    </row>
    <row r="9" spans="1:12" ht="18" hidden="1" x14ac:dyDescent="0.35">
      <c r="A9" s="9">
        <v>123</v>
      </c>
      <c r="B9" s="9" t="s">
        <v>44</v>
      </c>
      <c r="C9" s="9" t="s">
        <v>45</v>
      </c>
      <c r="D9" s="9" t="s">
        <v>46</v>
      </c>
      <c r="E9" s="9">
        <v>6</v>
      </c>
      <c r="F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" s="27"/>
      <c r="H9" s="27"/>
      <c r="I9" s="27"/>
      <c r="J9" s="27"/>
      <c r="K9" s="27"/>
      <c r="L9" s="27"/>
    </row>
    <row r="10" spans="1:12" ht="18" hidden="1" x14ac:dyDescent="0.35">
      <c r="A10" s="9">
        <v>134</v>
      </c>
      <c r="B10" s="9" t="s">
        <v>44</v>
      </c>
      <c r="C10" s="9" t="s">
        <v>45</v>
      </c>
      <c r="D10" s="9" t="s">
        <v>49</v>
      </c>
      <c r="E10" s="9">
        <v>6</v>
      </c>
      <c r="F1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" s="27"/>
      <c r="H10" s="27"/>
      <c r="I10" s="27"/>
      <c r="J10" s="27"/>
      <c r="K10" s="27"/>
      <c r="L10" s="27"/>
    </row>
    <row r="11" spans="1:12" ht="18" hidden="1" x14ac:dyDescent="0.35">
      <c r="A11" s="9">
        <v>138</v>
      </c>
      <c r="B11" s="9" t="s">
        <v>44</v>
      </c>
      <c r="C11" s="9" t="s">
        <v>45</v>
      </c>
      <c r="D11" s="9" t="s">
        <v>48</v>
      </c>
      <c r="E11" s="9">
        <v>6</v>
      </c>
      <c r="F1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" s="27"/>
      <c r="H11" s="27"/>
      <c r="I11" s="27"/>
      <c r="J11" s="27"/>
      <c r="K11" s="27"/>
      <c r="L11" s="27"/>
    </row>
    <row r="12" spans="1:12" ht="18" hidden="1" x14ac:dyDescent="0.35">
      <c r="A12" s="9">
        <v>186</v>
      </c>
      <c r="B12" s="9" t="s">
        <v>139</v>
      </c>
      <c r="C12" s="9" t="s">
        <v>136</v>
      </c>
      <c r="D12" s="9" t="s">
        <v>142</v>
      </c>
      <c r="E12" s="9">
        <v>6</v>
      </c>
      <c r="F1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" s="27"/>
      <c r="H12" s="27"/>
      <c r="I12" s="27"/>
      <c r="J12" s="27"/>
      <c r="K12" s="27"/>
      <c r="L12" s="27"/>
    </row>
    <row r="13" spans="1:12" ht="18" hidden="1" x14ac:dyDescent="0.35">
      <c r="A13" s="9">
        <v>191</v>
      </c>
      <c r="B13" s="9" t="s">
        <v>33</v>
      </c>
      <c r="C13" s="9" t="s">
        <v>24</v>
      </c>
      <c r="D13" s="9" t="s">
        <v>35</v>
      </c>
      <c r="E13" s="9">
        <v>24</v>
      </c>
      <c r="F1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" s="27"/>
      <c r="H13" s="27"/>
      <c r="I13" s="27"/>
      <c r="J13" s="27"/>
      <c r="K13" s="27"/>
      <c r="L13" s="27"/>
    </row>
    <row r="14" spans="1:12" ht="18" hidden="1" x14ac:dyDescent="0.35">
      <c r="A14" s="9">
        <v>232</v>
      </c>
      <c r="B14" s="9" t="s">
        <v>53</v>
      </c>
      <c r="C14" s="9" t="s">
        <v>54</v>
      </c>
      <c r="D14" s="9" t="s">
        <v>59</v>
      </c>
      <c r="E14" s="9">
        <v>8</v>
      </c>
      <c r="F1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" s="27"/>
      <c r="H14" s="27"/>
      <c r="I14" s="27"/>
      <c r="J14" s="27"/>
      <c r="K14" s="27"/>
      <c r="L14" s="27"/>
    </row>
    <row r="15" spans="1:12" ht="18" hidden="1" x14ac:dyDescent="0.35">
      <c r="A15" s="9">
        <v>286</v>
      </c>
      <c r="B15" s="9" t="s">
        <v>178</v>
      </c>
      <c r="C15" s="9" t="s">
        <v>156</v>
      </c>
      <c r="D15" s="9" t="s">
        <v>188</v>
      </c>
      <c r="E15" s="9">
        <v>6</v>
      </c>
      <c r="F1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" s="27"/>
      <c r="H15" s="27"/>
      <c r="I15" s="27"/>
      <c r="J15" s="27"/>
      <c r="K15" s="27"/>
      <c r="L15" s="27"/>
    </row>
    <row r="16" spans="1:12" ht="18" hidden="1" x14ac:dyDescent="0.35">
      <c r="A16" s="9">
        <v>383</v>
      </c>
      <c r="B16" s="9" t="s">
        <v>33</v>
      </c>
      <c r="C16" s="9" t="s">
        <v>24</v>
      </c>
      <c r="D16" s="9" t="s">
        <v>34</v>
      </c>
      <c r="E16" s="9">
        <v>24</v>
      </c>
      <c r="F1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" s="27"/>
      <c r="H16" s="27"/>
      <c r="I16" s="27"/>
      <c r="J16" s="27"/>
      <c r="K16" s="27"/>
      <c r="L16" s="27"/>
    </row>
    <row r="17" spans="1:12" ht="18" hidden="1" x14ac:dyDescent="0.35">
      <c r="A17" s="9">
        <v>399</v>
      </c>
      <c r="B17" s="9" t="s">
        <v>198</v>
      </c>
      <c r="C17" s="9" t="s">
        <v>156</v>
      </c>
      <c r="D17" s="9" t="s">
        <v>202</v>
      </c>
      <c r="E17" s="9">
        <v>6</v>
      </c>
      <c r="F1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" s="27"/>
      <c r="H17" s="27"/>
      <c r="I17" s="27"/>
      <c r="J17" s="27"/>
      <c r="K17" s="27"/>
      <c r="L17" s="27"/>
    </row>
    <row r="18" spans="1:12" ht="18" hidden="1" x14ac:dyDescent="0.35">
      <c r="A18" s="9">
        <v>436</v>
      </c>
      <c r="B18" s="9" t="s">
        <v>166</v>
      </c>
      <c r="C18" s="9" t="s">
        <v>156</v>
      </c>
      <c r="D18" s="9" t="s">
        <v>168</v>
      </c>
      <c r="E18" s="9">
        <v>6</v>
      </c>
      <c r="F1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" s="27"/>
      <c r="H18" s="27"/>
      <c r="I18" s="27"/>
      <c r="J18" s="27"/>
      <c r="K18" s="27"/>
      <c r="L18" s="27"/>
    </row>
    <row r="19" spans="1:12" ht="18" hidden="1" x14ac:dyDescent="0.35">
      <c r="A19" s="9">
        <v>474</v>
      </c>
      <c r="B19" s="9" t="s">
        <v>166</v>
      </c>
      <c r="C19" s="9" t="s">
        <v>156</v>
      </c>
      <c r="D19" s="9" t="s">
        <v>170</v>
      </c>
      <c r="E19" s="9">
        <v>6</v>
      </c>
      <c r="F1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" s="27"/>
      <c r="H19" s="27"/>
      <c r="I19" s="27"/>
      <c r="J19" s="27"/>
      <c r="K19" s="27"/>
      <c r="L19" s="27"/>
    </row>
    <row r="20" spans="1:12" ht="18" hidden="1" x14ac:dyDescent="0.35">
      <c r="A20" s="9">
        <v>503</v>
      </c>
      <c r="B20" s="9" t="s">
        <v>178</v>
      </c>
      <c r="C20" s="9" t="s">
        <v>156</v>
      </c>
      <c r="D20" s="9" t="s">
        <v>192</v>
      </c>
      <c r="E20" s="9">
        <v>6</v>
      </c>
      <c r="F2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0" s="27"/>
      <c r="H20" s="27"/>
      <c r="I20" s="27"/>
      <c r="J20" s="27"/>
      <c r="K20" s="27"/>
      <c r="L20" s="27"/>
    </row>
    <row r="21" spans="1:12" ht="18" hidden="1" x14ac:dyDescent="0.35">
      <c r="A21" s="9">
        <v>7197</v>
      </c>
      <c r="B21" s="9" t="s">
        <v>250</v>
      </c>
      <c r="C21" s="9" t="s">
        <v>227</v>
      </c>
      <c r="D21" s="9" t="s">
        <v>257</v>
      </c>
      <c r="E21" s="9">
        <v>12</v>
      </c>
      <c r="F2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1" s="27"/>
      <c r="H21" s="27"/>
      <c r="I21" s="27"/>
      <c r="J21" s="27"/>
      <c r="K21" s="27"/>
      <c r="L21" s="27"/>
    </row>
    <row r="22" spans="1:12" ht="18" hidden="1" x14ac:dyDescent="0.35">
      <c r="A22" s="9">
        <v>9003</v>
      </c>
      <c r="B22" s="9" t="s">
        <v>79</v>
      </c>
      <c r="C22" s="9" t="s">
        <v>54</v>
      </c>
      <c r="D22" s="9" t="s">
        <v>81</v>
      </c>
      <c r="E22" s="9">
        <v>24</v>
      </c>
      <c r="F2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2" s="27"/>
      <c r="H22" s="27"/>
      <c r="I22" s="27"/>
      <c r="J22" s="27"/>
      <c r="K22" s="27"/>
      <c r="L22" s="27"/>
    </row>
    <row r="23" spans="1:12" ht="18" hidden="1" x14ac:dyDescent="0.35">
      <c r="A23" s="9">
        <v>9004</v>
      </c>
      <c r="B23" s="9" t="s">
        <v>79</v>
      </c>
      <c r="C23" s="9" t="s">
        <v>54</v>
      </c>
      <c r="D23" s="9" t="s">
        <v>82</v>
      </c>
      <c r="E23" s="9">
        <v>24</v>
      </c>
      <c r="F2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3" s="27"/>
      <c r="H23" s="27"/>
      <c r="I23" s="27"/>
      <c r="J23" s="27"/>
      <c r="K23" s="27"/>
      <c r="L23" s="27"/>
    </row>
    <row r="24" spans="1:12" ht="18" hidden="1" x14ac:dyDescent="0.35">
      <c r="A24" s="9">
        <v>9350</v>
      </c>
      <c r="B24" s="9" t="s">
        <v>226</v>
      </c>
      <c r="C24" s="9" t="s">
        <v>227</v>
      </c>
      <c r="D24" s="9" t="s">
        <v>230</v>
      </c>
      <c r="E24" s="9">
        <v>12</v>
      </c>
      <c r="F2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4" s="27"/>
      <c r="H24" s="27"/>
      <c r="I24" s="27"/>
      <c r="J24" s="27"/>
      <c r="K24" s="27"/>
      <c r="L24" s="27"/>
    </row>
    <row r="25" spans="1:12" ht="18" hidden="1" x14ac:dyDescent="0.35">
      <c r="A25" s="9">
        <v>12813</v>
      </c>
      <c r="B25" s="9" t="s">
        <v>92</v>
      </c>
      <c r="C25" s="9" t="s">
        <v>54</v>
      </c>
      <c r="D25" s="9" t="s">
        <v>94</v>
      </c>
      <c r="E25" s="9">
        <v>24</v>
      </c>
      <c r="F2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5" s="27"/>
      <c r="H25" s="27"/>
      <c r="I25" s="27"/>
      <c r="J25" s="27"/>
      <c r="K25" s="27"/>
      <c r="L25" s="27"/>
    </row>
    <row r="26" spans="1:12" ht="18" hidden="1" x14ac:dyDescent="0.35">
      <c r="A26" s="9">
        <v>13235</v>
      </c>
      <c r="B26" s="9" t="s">
        <v>158</v>
      </c>
      <c r="C26" s="9" t="s">
        <v>156</v>
      </c>
      <c r="D26" s="9" t="s">
        <v>161</v>
      </c>
      <c r="E26" s="9">
        <v>6</v>
      </c>
      <c r="F2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6" s="27"/>
      <c r="H26" s="27"/>
      <c r="I26" s="27"/>
      <c r="J26" s="27"/>
      <c r="K26" s="27"/>
      <c r="L26" s="27"/>
    </row>
    <row r="27" spans="1:12" ht="18" hidden="1" x14ac:dyDescent="0.35">
      <c r="A27" s="9">
        <v>13247</v>
      </c>
      <c r="B27" s="9" t="s">
        <v>171</v>
      </c>
      <c r="C27" s="9" t="s">
        <v>156</v>
      </c>
      <c r="D27" s="9" t="s">
        <v>173</v>
      </c>
      <c r="E27" s="9">
        <v>6</v>
      </c>
      <c r="F2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7" s="27"/>
      <c r="H27" s="27"/>
      <c r="I27" s="27"/>
      <c r="J27" s="27"/>
      <c r="K27" s="27"/>
      <c r="L27" s="27"/>
    </row>
    <row r="28" spans="1:12" ht="18" hidden="1" x14ac:dyDescent="0.35">
      <c r="A28" s="9">
        <v>13268</v>
      </c>
      <c r="B28" s="9" t="s">
        <v>215</v>
      </c>
      <c r="C28" s="9" t="s">
        <v>156</v>
      </c>
      <c r="D28" s="9" t="s">
        <v>225</v>
      </c>
      <c r="E28" s="9">
        <v>6</v>
      </c>
      <c r="F2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8" s="27"/>
      <c r="H28" s="27"/>
      <c r="I28" s="27"/>
      <c r="J28" s="27"/>
      <c r="K28" s="27"/>
      <c r="L28" s="27"/>
    </row>
    <row r="29" spans="1:12" ht="18" hidden="1" x14ac:dyDescent="0.35">
      <c r="A29" s="9">
        <v>14685</v>
      </c>
      <c r="B29" s="9" t="s">
        <v>61</v>
      </c>
      <c r="C29" s="9" t="s">
        <v>54</v>
      </c>
      <c r="D29" s="9" t="s">
        <v>65</v>
      </c>
      <c r="E29" s="9">
        <v>6</v>
      </c>
      <c r="F2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9" s="27"/>
      <c r="H29" s="27"/>
      <c r="I29" s="27"/>
      <c r="J29" s="27"/>
      <c r="K29" s="27"/>
      <c r="L29" s="27"/>
    </row>
    <row r="30" spans="1:12" ht="18" hidden="1" x14ac:dyDescent="0.35">
      <c r="A30" s="9">
        <v>15866</v>
      </c>
      <c r="B30" s="9" t="s">
        <v>215</v>
      </c>
      <c r="C30" s="9" t="s">
        <v>156</v>
      </c>
      <c r="D30" s="9" t="s">
        <v>220</v>
      </c>
      <c r="E30" s="9">
        <v>6</v>
      </c>
      <c r="F3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0" s="27"/>
      <c r="H30" s="27"/>
      <c r="I30" s="27"/>
      <c r="J30" s="27"/>
      <c r="K30" s="27"/>
      <c r="L30" s="27"/>
    </row>
    <row r="31" spans="1:12" ht="18" hidden="1" x14ac:dyDescent="0.35">
      <c r="A31" s="9">
        <v>15979</v>
      </c>
      <c r="B31" s="9" t="s">
        <v>178</v>
      </c>
      <c r="C31" s="9" t="s">
        <v>156</v>
      </c>
      <c r="D31" s="9" t="s">
        <v>184</v>
      </c>
      <c r="E31" s="9">
        <v>6</v>
      </c>
      <c r="F3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1" s="27"/>
      <c r="H31" s="27"/>
      <c r="I31" s="27"/>
      <c r="J31" s="27"/>
      <c r="K31" s="27"/>
      <c r="L31" s="27"/>
    </row>
    <row r="32" spans="1:12" ht="18" hidden="1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2" s="27"/>
      <c r="H32" s="27"/>
      <c r="I32" s="27"/>
      <c r="J32" s="27"/>
      <c r="K32" s="27"/>
      <c r="L32" s="27"/>
    </row>
    <row r="33" spans="1:12" ht="18" hidden="1" x14ac:dyDescent="0.35">
      <c r="A33" s="9">
        <v>16264</v>
      </c>
      <c r="B33" s="9" t="s">
        <v>158</v>
      </c>
      <c r="C33" s="9" t="s">
        <v>156</v>
      </c>
      <c r="D33" s="9" t="s">
        <v>162</v>
      </c>
      <c r="E33" s="9">
        <v>6</v>
      </c>
      <c r="F3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3" s="27"/>
      <c r="H33" s="27"/>
      <c r="I33" s="27"/>
      <c r="J33" s="27"/>
      <c r="K33" s="27"/>
      <c r="L33" s="27"/>
    </row>
    <row r="34" spans="1:12" ht="18" hidden="1" x14ac:dyDescent="0.35">
      <c r="A34" s="9">
        <v>16270</v>
      </c>
      <c r="B34" s="9" t="s">
        <v>198</v>
      </c>
      <c r="C34" s="9" t="s">
        <v>156</v>
      </c>
      <c r="D34" s="9" t="s">
        <v>201</v>
      </c>
      <c r="E34" s="9">
        <v>12</v>
      </c>
      <c r="F3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4" s="27"/>
      <c r="H34" s="27"/>
      <c r="I34" s="27"/>
      <c r="J34" s="27"/>
      <c r="K34" s="27"/>
      <c r="L34" s="27"/>
    </row>
    <row r="35" spans="1:12" ht="18" hidden="1" x14ac:dyDescent="0.35">
      <c r="A35" s="9">
        <v>16960</v>
      </c>
      <c r="B35" s="9" t="s">
        <v>215</v>
      </c>
      <c r="C35" s="9" t="s">
        <v>156</v>
      </c>
      <c r="D35" s="9" t="s">
        <v>217</v>
      </c>
      <c r="E35" s="9">
        <v>6</v>
      </c>
      <c r="F3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5" s="27"/>
      <c r="H35" s="27"/>
      <c r="I35" s="27"/>
      <c r="J35" s="27"/>
      <c r="K35" s="27"/>
      <c r="L35" s="27"/>
    </row>
    <row r="36" spans="1:12" ht="18" hidden="1" x14ac:dyDescent="0.35">
      <c r="A36" s="9">
        <v>17740</v>
      </c>
      <c r="B36" s="9" t="s">
        <v>215</v>
      </c>
      <c r="C36" s="9" t="s">
        <v>156</v>
      </c>
      <c r="D36" s="9" t="s">
        <v>222</v>
      </c>
      <c r="E36" s="9">
        <v>6</v>
      </c>
      <c r="F3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6" s="27"/>
      <c r="H36" s="27"/>
      <c r="I36" s="27"/>
      <c r="J36" s="27"/>
      <c r="K36" s="27"/>
      <c r="L36" s="27"/>
    </row>
    <row r="37" spans="1:12" ht="18" hidden="1" x14ac:dyDescent="0.35">
      <c r="A37" s="9">
        <v>17906</v>
      </c>
      <c r="B37" s="9" t="s">
        <v>178</v>
      </c>
      <c r="C37" s="9" t="s">
        <v>156</v>
      </c>
      <c r="D37" s="9" t="s">
        <v>180</v>
      </c>
      <c r="E37" s="9">
        <v>6</v>
      </c>
      <c r="F3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7" s="27"/>
      <c r="H37" s="27"/>
      <c r="I37" s="27"/>
      <c r="J37" s="27"/>
      <c r="K37" s="27"/>
      <c r="L37" s="27"/>
    </row>
    <row r="38" spans="1:12" ht="18" hidden="1" x14ac:dyDescent="0.35">
      <c r="A38" s="9">
        <v>18100</v>
      </c>
      <c r="B38" s="9" t="s">
        <v>178</v>
      </c>
      <c r="C38" s="9" t="s">
        <v>156</v>
      </c>
      <c r="D38" s="9" t="s">
        <v>190</v>
      </c>
      <c r="E38" s="9">
        <v>6</v>
      </c>
      <c r="F3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8" s="27"/>
      <c r="H38" s="27"/>
      <c r="I38" s="27"/>
      <c r="J38" s="27"/>
      <c r="K38" s="27"/>
      <c r="L38" s="27"/>
    </row>
    <row r="39" spans="1:12" ht="18" hidden="1" x14ac:dyDescent="0.35">
      <c r="A39" s="9">
        <v>18101</v>
      </c>
      <c r="B39" s="9" t="s">
        <v>198</v>
      </c>
      <c r="C39" s="9" t="s">
        <v>156</v>
      </c>
      <c r="D39" s="9" t="s">
        <v>200</v>
      </c>
      <c r="E39" s="9">
        <v>6</v>
      </c>
      <c r="F3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9" s="27"/>
      <c r="H39" s="27"/>
      <c r="I39" s="27"/>
      <c r="J39" s="27"/>
      <c r="K39" s="27"/>
      <c r="L39" s="27"/>
    </row>
    <row r="40" spans="1:12" ht="18" hidden="1" x14ac:dyDescent="0.35">
      <c r="A40" s="9">
        <v>18102</v>
      </c>
      <c r="B40" s="9" t="s">
        <v>178</v>
      </c>
      <c r="C40" s="9" t="s">
        <v>156</v>
      </c>
      <c r="D40" s="9" t="s">
        <v>193</v>
      </c>
      <c r="E40" s="9">
        <v>6</v>
      </c>
      <c r="F4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0" s="27"/>
      <c r="H40" s="27"/>
      <c r="I40" s="27"/>
      <c r="J40" s="27"/>
      <c r="K40" s="27"/>
      <c r="L40" s="27"/>
    </row>
    <row r="41" spans="1:12" ht="18" hidden="1" x14ac:dyDescent="0.35">
      <c r="A41" s="9">
        <v>18113</v>
      </c>
      <c r="B41" s="9" t="s">
        <v>79</v>
      </c>
      <c r="C41" s="9" t="s">
        <v>54</v>
      </c>
      <c r="D41" s="9" t="s">
        <v>85</v>
      </c>
      <c r="E41" s="9">
        <v>24</v>
      </c>
      <c r="F4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1" s="27"/>
      <c r="H41" s="27"/>
      <c r="I41" s="27"/>
      <c r="J41" s="27"/>
      <c r="K41" s="27"/>
      <c r="L41" s="27"/>
    </row>
    <row r="42" spans="1:12" ht="18" hidden="1" x14ac:dyDescent="0.35">
      <c r="A42" s="9">
        <v>19603</v>
      </c>
      <c r="B42" s="9" t="s">
        <v>178</v>
      </c>
      <c r="C42" s="9" t="s">
        <v>156</v>
      </c>
      <c r="D42" s="9" t="s">
        <v>181</v>
      </c>
      <c r="E42" s="9">
        <v>6</v>
      </c>
      <c r="F4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2" s="27"/>
      <c r="H42" s="27"/>
      <c r="I42" s="27"/>
      <c r="J42" s="27"/>
      <c r="K42" s="27"/>
      <c r="L42" s="27"/>
    </row>
    <row r="43" spans="1:12" ht="18" hidden="1" x14ac:dyDescent="0.35">
      <c r="A43" s="9">
        <v>20255</v>
      </c>
      <c r="B43" s="9" t="s">
        <v>92</v>
      </c>
      <c r="C43" s="9" t="s">
        <v>54</v>
      </c>
      <c r="D43" s="9" t="s">
        <v>95</v>
      </c>
      <c r="E43" s="9">
        <v>24</v>
      </c>
      <c r="F4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3" s="27"/>
      <c r="H43" s="27"/>
      <c r="I43" s="27"/>
      <c r="J43" s="27"/>
      <c r="K43" s="27"/>
      <c r="L43" s="27"/>
    </row>
    <row r="44" spans="1:12" ht="18" hidden="1" x14ac:dyDescent="0.35">
      <c r="A44" s="9">
        <v>20430</v>
      </c>
      <c r="B44" s="9" t="s">
        <v>237</v>
      </c>
      <c r="C44" s="9" t="s">
        <v>227</v>
      </c>
      <c r="D44" s="9" t="s">
        <v>238</v>
      </c>
      <c r="E44" s="9">
        <v>6</v>
      </c>
      <c r="F4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4" s="27"/>
      <c r="H44" s="27"/>
      <c r="I44" s="27"/>
      <c r="J44" s="27"/>
      <c r="K44" s="27"/>
      <c r="L44" s="27"/>
    </row>
    <row r="45" spans="1:12" ht="18" hidden="1" x14ac:dyDescent="0.35">
      <c r="A45" s="9">
        <v>20514</v>
      </c>
      <c r="B45" s="9" t="s">
        <v>135</v>
      </c>
      <c r="C45" s="9" t="s">
        <v>136</v>
      </c>
      <c r="D45" s="9" t="s">
        <v>137</v>
      </c>
      <c r="E45" s="9">
        <v>6</v>
      </c>
      <c r="F4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5" s="27"/>
      <c r="H45" s="27"/>
      <c r="I45" s="27"/>
      <c r="J45" s="27"/>
      <c r="K45" s="27"/>
      <c r="L45" s="27"/>
    </row>
    <row r="46" spans="1:12" ht="18" hidden="1" x14ac:dyDescent="0.35">
      <c r="A46" s="9">
        <v>20535</v>
      </c>
      <c r="B46" s="9" t="s">
        <v>139</v>
      </c>
      <c r="C46" s="9" t="s">
        <v>136</v>
      </c>
      <c r="D46" s="9" t="s">
        <v>145</v>
      </c>
      <c r="E46" s="9">
        <v>6</v>
      </c>
      <c r="F4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6" s="27"/>
      <c r="H46" s="27"/>
      <c r="I46" s="27"/>
      <c r="J46" s="27"/>
      <c r="K46" s="27"/>
      <c r="L46" s="27"/>
    </row>
    <row r="47" spans="1:12" ht="18" hidden="1" x14ac:dyDescent="0.35">
      <c r="A47" s="9">
        <v>21852</v>
      </c>
      <c r="B47" s="9" t="s">
        <v>61</v>
      </c>
      <c r="C47" s="9" t="s">
        <v>54</v>
      </c>
      <c r="D47" s="9" t="s">
        <v>63</v>
      </c>
      <c r="E47" s="9">
        <v>6</v>
      </c>
      <c r="F4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7" s="27"/>
      <c r="H47" s="27"/>
      <c r="I47" s="27"/>
      <c r="J47" s="27"/>
      <c r="K47" s="27"/>
      <c r="L47" s="27"/>
    </row>
    <row r="48" spans="1:12" ht="18" hidden="1" x14ac:dyDescent="0.35">
      <c r="A48" s="9">
        <v>21853</v>
      </c>
      <c r="B48" s="9" t="s">
        <v>61</v>
      </c>
      <c r="C48" s="9" t="s">
        <v>54</v>
      </c>
      <c r="D48" s="9" t="s">
        <v>66</v>
      </c>
      <c r="E48" s="9">
        <v>4</v>
      </c>
      <c r="F4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8" s="27"/>
      <c r="H48" s="27"/>
      <c r="I48" s="27"/>
      <c r="J48" s="27"/>
      <c r="K48" s="27"/>
      <c r="L48" s="27"/>
    </row>
    <row r="49" spans="1:12" ht="18" hidden="1" x14ac:dyDescent="0.35">
      <c r="A49" s="9">
        <v>22147</v>
      </c>
      <c r="B49" s="9" t="s">
        <v>139</v>
      </c>
      <c r="C49" s="9" t="s">
        <v>136</v>
      </c>
      <c r="D49" s="9" t="s">
        <v>140</v>
      </c>
      <c r="E49" s="9">
        <v>6</v>
      </c>
      <c r="F4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9" s="27"/>
      <c r="H49" s="27"/>
      <c r="I49" s="27"/>
      <c r="J49" s="27"/>
      <c r="K49" s="27"/>
      <c r="L49" s="27"/>
    </row>
    <row r="50" spans="1:12" ht="18" hidden="1" x14ac:dyDescent="0.35">
      <c r="A50" s="9">
        <v>22426</v>
      </c>
      <c r="B50" s="9" t="s">
        <v>196</v>
      </c>
      <c r="C50" s="9" t="s">
        <v>156</v>
      </c>
      <c r="D50" s="9" t="s">
        <v>197</v>
      </c>
      <c r="E50" s="9">
        <v>6</v>
      </c>
      <c r="F5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0" s="27"/>
      <c r="H50" s="27"/>
      <c r="I50" s="27"/>
      <c r="J50" s="27"/>
      <c r="K50" s="27"/>
      <c r="L50" s="27"/>
    </row>
    <row r="51" spans="1:12" ht="18" hidden="1" x14ac:dyDescent="0.35">
      <c r="A51" s="9">
        <v>22465</v>
      </c>
      <c r="B51" s="9" t="s">
        <v>33</v>
      </c>
      <c r="C51" s="9" t="s">
        <v>24</v>
      </c>
      <c r="D51" s="9" t="s">
        <v>38</v>
      </c>
      <c r="E51" s="9">
        <v>24</v>
      </c>
      <c r="F5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1" s="27"/>
      <c r="H51" s="27"/>
      <c r="I51" s="27"/>
      <c r="J51" s="27"/>
      <c r="K51" s="27"/>
      <c r="L51" s="27"/>
    </row>
    <row r="52" spans="1:12" ht="18" hidden="1" x14ac:dyDescent="0.35">
      <c r="A52" s="9">
        <v>22627</v>
      </c>
      <c r="B52" s="9" t="s">
        <v>215</v>
      </c>
      <c r="C52" s="9" t="s">
        <v>156</v>
      </c>
      <c r="D52" s="9" t="s">
        <v>218</v>
      </c>
      <c r="E52" s="9">
        <v>6</v>
      </c>
      <c r="F5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2" s="27"/>
      <c r="H52" s="27"/>
      <c r="I52" s="27"/>
      <c r="J52" s="27"/>
      <c r="K52" s="27"/>
      <c r="L52" s="27"/>
    </row>
    <row r="53" spans="1:12" ht="18" hidden="1" x14ac:dyDescent="0.35">
      <c r="A53" s="9">
        <v>22717</v>
      </c>
      <c r="B53" s="9" t="s">
        <v>53</v>
      </c>
      <c r="C53" s="9" t="s">
        <v>54</v>
      </c>
      <c r="D53" s="9" t="s">
        <v>60</v>
      </c>
      <c r="E53" s="9">
        <v>24</v>
      </c>
      <c r="F5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3" s="27"/>
      <c r="H53" s="27"/>
      <c r="I53" s="27"/>
      <c r="J53" s="27"/>
      <c r="K53" s="27"/>
      <c r="L53" s="27"/>
    </row>
    <row r="54" spans="1:12" ht="18" hidden="1" x14ac:dyDescent="0.35">
      <c r="A54" s="9">
        <v>22780</v>
      </c>
      <c r="B54" s="9" t="s">
        <v>194</v>
      </c>
      <c r="C54" s="9" t="s">
        <v>156</v>
      </c>
      <c r="D54" s="9" t="s">
        <v>195</v>
      </c>
      <c r="E54" s="9">
        <v>6</v>
      </c>
      <c r="F5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4" s="27"/>
      <c r="H54" s="27"/>
      <c r="I54" s="27"/>
      <c r="J54" s="27"/>
      <c r="K54" s="27"/>
      <c r="L54" s="27"/>
    </row>
    <row r="55" spans="1:12" ht="18" hidden="1" x14ac:dyDescent="0.35">
      <c r="A55" s="9">
        <v>22901</v>
      </c>
      <c r="B55" s="9" t="s">
        <v>210</v>
      </c>
      <c r="C55" s="9" t="s">
        <v>156</v>
      </c>
      <c r="D55" s="9" t="s">
        <v>212</v>
      </c>
      <c r="E55" s="9">
        <v>6</v>
      </c>
      <c r="F5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5" s="27"/>
      <c r="H55" s="27"/>
      <c r="I55" s="27"/>
      <c r="J55" s="27"/>
      <c r="K55" s="27"/>
      <c r="L55" s="27"/>
    </row>
    <row r="56" spans="1:12" ht="18" hidden="1" x14ac:dyDescent="0.35">
      <c r="A56" s="9">
        <v>23103</v>
      </c>
      <c r="B56" s="9" t="s">
        <v>118</v>
      </c>
      <c r="C56" s="9" t="s">
        <v>100</v>
      </c>
      <c r="D56" s="9" t="s">
        <v>122</v>
      </c>
      <c r="E56" s="9">
        <v>12</v>
      </c>
      <c r="F5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6" s="27"/>
      <c r="H56" s="27"/>
      <c r="I56" s="27"/>
      <c r="J56" s="27"/>
      <c r="K56" s="27"/>
      <c r="L56" s="27"/>
    </row>
    <row r="57" spans="1:12" ht="18" hidden="1" x14ac:dyDescent="0.35">
      <c r="A57" s="9">
        <v>24114</v>
      </c>
      <c r="B57" s="9" t="s">
        <v>92</v>
      </c>
      <c r="C57" s="9" t="s">
        <v>54</v>
      </c>
      <c r="D57" s="9" t="s">
        <v>96</v>
      </c>
      <c r="E57" s="9">
        <v>24</v>
      </c>
      <c r="F5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7" s="27"/>
      <c r="H57" s="27"/>
      <c r="I57" s="27"/>
      <c r="J57" s="27"/>
      <c r="K57" s="27"/>
      <c r="L57" s="27"/>
    </row>
    <row r="58" spans="1:12" ht="18" hidden="1" x14ac:dyDescent="0.35">
      <c r="A58" s="9">
        <v>24115</v>
      </c>
      <c r="B58" s="9" t="s">
        <v>33</v>
      </c>
      <c r="C58" s="9" t="s">
        <v>24</v>
      </c>
      <c r="D58" s="9" t="s">
        <v>39</v>
      </c>
      <c r="E58" s="9">
        <v>24</v>
      </c>
      <c r="F5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8" s="27"/>
      <c r="H58" s="27"/>
      <c r="I58" s="27"/>
      <c r="J58" s="27"/>
      <c r="K58" s="27"/>
      <c r="L58" s="27"/>
    </row>
    <row r="59" spans="1:12" ht="18" hidden="1" x14ac:dyDescent="0.35">
      <c r="A59" s="9">
        <v>30787</v>
      </c>
      <c r="B59" s="9" t="s">
        <v>111</v>
      </c>
      <c r="C59" s="9" t="s">
        <v>100</v>
      </c>
      <c r="D59" s="9" t="s">
        <v>113</v>
      </c>
      <c r="E59" s="9">
        <v>12</v>
      </c>
      <c r="F5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9" s="27"/>
      <c r="H59" s="27"/>
      <c r="I59" s="27"/>
      <c r="J59" s="27"/>
      <c r="K59" s="27"/>
      <c r="L59" s="27"/>
    </row>
    <row r="60" spans="1:12" ht="18" hidden="1" x14ac:dyDescent="0.35">
      <c r="A60" s="9">
        <v>31617</v>
      </c>
      <c r="B60" s="9" t="s">
        <v>237</v>
      </c>
      <c r="C60" s="9" t="s">
        <v>227</v>
      </c>
      <c r="D60" s="9" t="s">
        <v>239</v>
      </c>
      <c r="E60" s="9">
        <v>6</v>
      </c>
      <c r="F6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0" s="27"/>
      <c r="H60" s="27"/>
      <c r="I60" s="27"/>
      <c r="J60" s="27"/>
      <c r="K60" s="27"/>
      <c r="L60" s="27"/>
    </row>
    <row r="61" spans="1:12" ht="18" hidden="1" x14ac:dyDescent="0.35">
      <c r="A61" s="9">
        <v>32094</v>
      </c>
      <c r="B61" s="9" t="s">
        <v>210</v>
      </c>
      <c r="C61" s="9" t="s">
        <v>156</v>
      </c>
      <c r="D61" s="9" t="s">
        <v>211</v>
      </c>
      <c r="E61" s="9">
        <v>6</v>
      </c>
      <c r="F6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1" s="27"/>
      <c r="H61" s="27"/>
      <c r="I61" s="27"/>
      <c r="J61" s="27"/>
      <c r="K61" s="27"/>
      <c r="L61" s="27"/>
    </row>
    <row r="62" spans="1:12" ht="18" hidden="1" x14ac:dyDescent="0.35">
      <c r="A62" s="9">
        <v>32398</v>
      </c>
      <c r="B62" s="9" t="s">
        <v>205</v>
      </c>
      <c r="C62" s="9" t="s">
        <v>156</v>
      </c>
      <c r="D62" s="9" t="s">
        <v>209</v>
      </c>
      <c r="E62" s="9">
        <v>12</v>
      </c>
      <c r="F6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2" s="27"/>
      <c r="H62" s="27"/>
      <c r="I62" s="27"/>
      <c r="J62" s="27"/>
      <c r="K62" s="27"/>
      <c r="L62" s="27"/>
    </row>
    <row r="63" spans="1:12" ht="18" hidden="1" x14ac:dyDescent="0.35">
      <c r="A63" s="9">
        <v>32450</v>
      </c>
      <c r="B63" s="9" t="s">
        <v>215</v>
      </c>
      <c r="C63" s="9" t="s">
        <v>156</v>
      </c>
      <c r="D63" s="9" t="s">
        <v>221</v>
      </c>
      <c r="E63" s="9">
        <v>6</v>
      </c>
      <c r="F6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3" s="27"/>
      <c r="H63" s="27"/>
      <c r="I63" s="27"/>
      <c r="J63" s="27"/>
      <c r="K63" s="27"/>
      <c r="L63" s="27"/>
    </row>
    <row r="64" spans="1:12" ht="18" hidden="1" x14ac:dyDescent="0.35">
      <c r="A64" s="9">
        <v>32471</v>
      </c>
      <c r="B64" s="9" t="s">
        <v>33</v>
      </c>
      <c r="C64" s="9" t="s">
        <v>24</v>
      </c>
      <c r="D64" s="9" t="s">
        <v>40</v>
      </c>
      <c r="E64" s="9">
        <v>24</v>
      </c>
      <c r="F6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4" s="27"/>
      <c r="H64" s="27"/>
      <c r="I64" s="27"/>
      <c r="J64" s="27"/>
      <c r="K64" s="27"/>
      <c r="L64" s="27"/>
    </row>
    <row r="65" spans="1:12" ht="18" hidden="1" x14ac:dyDescent="0.35">
      <c r="A65" s="9">
        <v>32483</v>
      </c>
      <c r="B65" s="9" t="s">
        <v>178</v>
      </c>
      <c r="C65" s="9" t="s">
        <v>156</v>
      </c>
      <c r="D65" s="9" t="s">
        <v>179</v>
      </c>
      <c r="E65" s="9">
        <v>6</v>
      </c>
      <c r="F6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5" s="27"/>
      <c r="H65" s="27"/>
      <c r="I65" s="27"/>
      <c r="J65" s="27"/>
      <c r="K65" s="27"/>
      <c r="L65" s="27"/>
    </row>
    <row r="66" spans="1:12" ht="18" hidden="1" x14ac:dyDescent="0.35">
      <c r="A66" s="9">
        <v>33353</v>
      </c>
      <c r="B66" s="9" t="s">
        <v>198</v>
      </c>
      <c r="C66" s="9" t="s">
        <v>156</v>
      </c>
      <c r="D66" s="9" t="s">
        <v>199</v>
      </c>
      <c r="E66" s="9">
        <v>6</v>
      </c>
      <c r="F6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6" s="27"/>
      <c r="H66" s="27"/>
      <c r="I66" s="27"/>
      <c r="J66" s="27"/>
      <c r="K66" s="27"/>
      <c r="L66" s="27"/>
    </row>
    <row r="67" spans="1:12" ht="18" hidden="1" x14ac:dyDescent="0.35">
      <c r="A67" s="9">
        <v>33783</v>
      </c>
      <c r="B67" s="9" t="s">
        <v>92</v>
      </c>
      <c r="C67" s="9" t="s">
        <v>54</v>
      </c>
      <c r="D67" s="9" t="s">
        <v>97</v>
      </c>
      <c r="E67" s="9">
        <v>24</v>
      </c>
      <c r="F6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7" s="27"/>
      <c r="H67" s="27"/>
      <c r="I67" s="27"/>
      <c r="J67" s="27"/>
      <c r="K67" s="27"/>
      <c r="L67" s="27"/>
    </row>
    <row r="68" spans="1:12" ht="18" hidden="1" x14ac:dyDescent="0.35">
      <c r="A68" s="9">
        <v>33975</v>
      </c>
      <c r="B68" s="9" t="s">
        <v>158</v>
      </c>
      <c r="C68" s="9" t="s">
        <v>156</v>
      </c>
      <c r="D68" s="9" t="s">
        <v>164</v>
      </c>
      <c r="E68" s="9">
        <v>6</v>
      </c>
      <c r="F6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8" s="27"/>
      <c r="H68" s="27"/>
      <c r="I68" s="27"/>
      <c r="J68" s="27"/>
      <c r="K68" s="27"/>
      <c r="L68" s="27"/>
    </row>
    <row r="69" spans="1:12" ht="18" hidden="1" x14ac:dyDescent="0.35">
      <c r="A69" s="9">
        <v>34091</v>
      </c>
      <c r="B69" s="9" t="s">
        <v>178</v>
      </c>
      <c r="C69" s="9" t="s">
        <v>156</v>
      </c>
      <c r="D69" s="9" t="s">
        <v>182</v>
      </c>
      <c r="E69" s="9">
        <v>6</v>
      </c>
      <c r="F6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9" s="27"/>
      <c r="H69" s="27"/>
      <c r="I69" s="27"/>
      <c r="J69" s="27"/>
      <c r="K69" s="27"/>
      <c r="L69" s="27"/>
    </row>
    <row r="70" spans="1:12" ht="18" hidden="1" x14ac:dyDescent="0.35">
      <c r="A70" s="9">
        <v>34649</v>
      </c>
      <c r="B70" s="9" t="s">
        <v>79</v>
      </c>
      <c r="C70" s="9" t="s">
        <v>54</v>
      </c>
      <c r="D70" s="9" t="s">
        <v>86</v>
      </c>
      <c r="E70" s="9">
        <v>24</v>
      </c>
      <c r="F7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0" s="27"/>
      <c r="H70" s="27"/>
      <c r="I70" s="27"/>
      <c r="J70" s="27"/>
      <c r="K70" s="27"/>
      <c r="L70" s="27"/>
    </row>
    <row r="71" spans="1:12" ht="18" hidden="1" x14ac:dyDescent="0.35">
      <c r="A71" s="9">
        <v>34663</v>
      </c>
      <c r="B71" s="9" t="s">
        <v>33</v>
      </c>
      <c r="C71" s="9" t="s">
        <v>24</v>
      </c>
      <c r="D71" s="9" t="s">
        <v>41</v>
      </c>
      <c r="E71" s="9">
        <v>24</v>
      </c>
      <c r="F7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1" s="27"/>
      <c r="H71" s="27"/>
      <c r="I71" s="27"/>
      <c r="J71" s="27"/>
      <c r="K71" s="27"/>
      <c r="L71" s="27"/>
    </row>
    <row r="72" spans="1:12" ht="18" hidden="1" x14ac:dyDescent="0.35">
      <c r="A72" s="9">
        <v>34680</v>
      </c>
      <c r="B72" s="9" t="s">
        <v>171</v>
      </c>
      <c r="C72" s="9" t="s">
        <v>156</v>
      </c>
      <c r="D72" s="9" t="s">
        <v>174</v>
      </c>
      <c r="E72" s="9">
        <v>6</v>
      </c>
      <c r="F7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2" s="27"/>
      <c r="H72" s="27"/>
      <c r="I72" s="27"/>
      <c r="J72" s="27"/>
      <c r="K72" s="27"/>
      <c r="L72" s="27"/>
    </row>
    <row r="73" spans="1:12" ht="18" hidden="1" x14ac:dyDescent="0.35">
      <c r="A73" s="9">
        <v>35051</v>
      </c>
      <c r="B73" s="9" t="s">
        <v>226</v>
      </c>
      <c r="C73" s="9" t="s">
        <v>227</v>
      </c>
      <c r="D73" s="9" t="s">
        <v>234</v>
      </c>
      <c r="E73" s="9">
        <v>6</v>
      </c>
      <c r="F7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3" s="27"/>
      <c r="H73" s="27"/>
      <c r="I73" s="27"/>
      <c r="J73" s="27"/>
      <c r="K73" s="27"/>
      <c r="L73" s="27"/>
    </row>
    <row r="74" spans="1:12" ht="18" hidden="1" x14ac:dyDescent="0.35">
      <c r="A74" s="9">
        <v>35071</v>
      </c>
      <c r="B74" s="9" t="s">
        <v>205</v>
      </c>
      <c r="C74" s="9" t="s">
        <v>156</v>
      </c>
      <c r="D74" s="9" t="s">
        <v>206</v>
      </c>
      <c r="E74" s="9">
        <v>6</v>
      </c>
      <c r="F7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4" s="27"/>
      <c r="H74" s="27"/>
      <c r="I74" s="27"/>
      <c r="J74" s="27"/>
      <c r="K74" s="27"/>
      <c r="L74" s="27"/>
    </row>
    <row r="75" spans="1:12" ht="18" hidden="1" x14ac:dyDescent="0.35">
      <c r="A75" s="9">
        <v>35199</v>
      </c>
      <c r="B75" s="9" t="s">
        <v>99</v>
      </c>
      <c r="C75" s="9" t="s">
        <v>100</v>
      </c>
      <c r="D75" s="9" t="s">
        <v>105</v>
      </c>
      <c r="E75" s="9">
        <v>12</v>
      </c>
      <c r="F7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5" s="27"/>
      <c r="H75" s="27"/>
      <c r="I75" s="27"/>
      <c r="J75" s="27"/>
      <c r="K75" s="27"/>
      <c r="L75" s="27"/>
    </row>
    <row r="76" spans="1:12" ht="18" hidden="1" x14ac:dyDescent="0.35">
      <c r="A76" s="9">
        <v>35257</v>
      </c>
      <c r="B76" s="9" t="s">
        <v>99</v>
      </c>
      <c r="C76" s="9" t="s">
        <v>100</v>
      </c>
      <c r="D76" s="9" t="s">
        <v>104</v>
      </c>
      <c r="E76" s="9">
        <v>12</v>
      </c>
      <c r="F7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6" s="27"/>
      <c r="H76" s="27"/>
      <c r="I76" s="27"/>
      <c r="J76" s="27"/>
      <c r="K76" s="27"/>
      <c r="L76" s="27"/>
    </row>
    <row r="77" spans="1:12" ht="18" hidden="1" x14ac:dyDescent="0.35">
      <c r="A77" s="9">
        <v>35260</v>
      </c>
      <c r="B77" s="9" t="s">
        <v>226</v>
      </c>
      <c r="C77" s="9" t="s">
        <v>227</v>
      </c>
      <c r="D77" s="9" t="s">
        <v>235</v>
      </c>
      <c r="E77" s="9">
        <v>6</v>
      </c>
      <c r="F7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7" s="27"/>
      <c r="H77" s="27"/>
      <c r="I77" s="27"/>
      <c r="J77" s="27"/>
      <c r="K77" s="27"/>
      <c r="L77" s="27"/>
    </row>
    <row r="78" spans="1:12" ht="18" hidden="1" x14ac:dyDescent="0.35">
      <c r="A78" s="9">
        <v>35342</v>
      </c>
      <c r="B78" s="9" t="s">
        <v>99</v>
      </c>
      <c r="C78" s="9" t="s">
        <v>100</v>
      </c>
      <c r="D78" s="9" t="s">
        <v>109</v>
      </c>
      <c r="E78" s="9">
        <v>12</v>
      </c>
      <c r="F7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8" s="27"/>
      <c r="H78" s="27"/>
      <c r="I78" s="27"/>
      <c r="J78" s="27"/>
      <c r="K78" s="27"/>
      <c r="L78" s="27"/>
    </row>
    <row r="79" spans="1:12" ht="18" hidden="1" x14ac:dyDescent="0.35">
      <c r="A79" s="9">
        <v>35541</v>
      </c>
      <c r="B79" s="9" t="s">
        <v>114</v>
      </c>
      <c r="C79" s="9" t="s">
        <v>100</v>
      </c>
      <c r="D79" s="9" t="s">
        <v>115</v>
      </c>
      <c r="E79" s="9">
        <v>6</v>
      </c>
      <c r="F7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9" s="27"/>
      <c r="H79" s="27"/>
      <c r="I79" s="27"/>
      <c r="J79" s="27"/>
      <c r="K79" s="27"/>
      <c r="L79" s="27"/>
    </row>
    <row r="80" spans="1:12" ht="18" hidden="1" x14ac:dyDescent="0.35">
      <c r="A80" s="9">
        <v>35694</v>
      </c>
      <c r="B80" s="9" t="s">
        <v>79</v>
      </c>
      <c r="C80" s="9" t="s">
        <v>54</v>
      </c>
      <c r="D80" s="9" t="s">
        <v>80</v>
      </c>
      <c r="E80" s="9">
        <v>24</v>
      </c>
      <c r="F8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0" s="27"/>
      <c r="H80" s="27"/>
      <c r="I80" s="27"/>
      <c r="J80" s="27"/>
      <c r="K80" s="27"/>
      <c r="L80" s="27"/>
    </row>
    <row r="81" spans="1:12" ht="18" hidden="1" x14ac:dyDescent="0.35">
      <c r="A81" s="9">
        <v>36676</v>
      </c>
      <c r="B81" s="9" t="s">
        <v>250</v>
      </c>
      <c r="C81" s="9" t="s">
        <v>227</v>
      </c>
      <c r="D81" s="9" t="s">
        <v>256</v>
      </c>
      <c r="E81" s="9">
        <v>6</v>
      </c>
      <c r="F8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1" s="27"/>
      <c r="H81" s="27"/>
      <c r="I81" s="27"/>
      <c r="J81" s="27"/>
      <c r="K81" s="27"/>
      <c r="L81" s="27"/>
    </row>
    <row r="82" spans="1:12" ht="18" hidden="1" x14ac:dyDescent="0.35">
      <c r="A82" s="9">
        <v>36728</v>
      </c>
      <c r="B82" s="9" t="s">
        <v>33</v>
      </c>
      <c r="C82" s="9" t="s">
        <v>24</v>
      </c>
      <c r="D82" s="9" t="s">
        <v>37</v>
      </c>
      <c r="E82" s="9">
        <v>24</v>
      </c>
      <c r="F8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2" s="27"/>
      <c r="H82" s="27"/>
      <c r="I82" s="27"/>
      <c r="J82" s="27"/>
      <c r="K82" s="27"/>
      <c r="L82" s="27"/>
    </row>
    <row r="83" spans="1:12" ht="18" hidden="1" x14ac:dyDescent="0.35">
      <c r="A83" s="9">
        <v>36883</v>
      </c>
      <c r="B83" s="9" t="s">
        <v>118</v>
      </c>
      <c r="C83" s="9" t="s">
        <v>100</v>
      </c>
      <c r="D83" s="9" t="s">
        <v>120</v>
      </c>
      <c r="E83" s="9">
        <v>6</v>
      </c>
      <c r="F8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3" s="27"/>
      <c r="H83" s="27"/>
      <c r="I83" s="27"/>
      <c r="J83" s="27"/>
      <c r="K83" s="27"/>
      <c r="L83" s="27"/>
    </row>
    <row r="84" spans="1:12" ht="18" hidden="1" x14ac:dyDescent="0.35">
      <c r="A84" s="9">
        <v>36935</v>
      </c>
      <c r="B84" s="9" t="s">
        <v>129</v>
      </c>
      <c r="C84" s="9" t="s">
        <v>100</v>
      </c>
      <c r="D84" s="9" t="s">
        <v>134</v>
      </c>
      <c r="E84" s="9">
        <v>12</v>
      </c>
      <c r="F8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4" s="27"/>
      <c r="H84" s="27"/>
      <c r="I84" s="27"/>
      <c r="J84" s="27"/>
      <c r="K84" s="27"/>
      <c r="L84" s="27"/>
    </row>
    <row r="85" spans="1:12" ht="18" hidden="1" x14ac:dyDescent="0.35">
      <c r="A85" s="9">
        <v>37124</v>
      </c>
      <c r="B85" s="9" t="s">
        <v>171</v>
      </c>
      <c r="C85" s="9" t="s">
        <v>156</v>
      </c>
      <c r="D85" s="9" t="s">
        <v>172</v>
      </c>
      <c r="E85" s="9">
        <v>6</v>
      </c>
      <c r="F8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5" s="27"/>
      <c r="H85" s="27"/>
      <c r="I85" s="27"/>
      <c r="J85" s="27"/>
      <c r="K85" s="27"/>
      <c r="L85" s="27"/>
    </row>
    <row r="86" spans="1:12" ht="18" hidden="1" x14ac:dyDescent="0.35">
      <c r="A86" s="9">
        <v>37125</v>
      </c>
      <c r="B86" s="9" t="s">
        <v>250</v>
      </c>
      <c r="C86" s="9" t="s">
        <v>227</v>
      </c>
      <c r="D86" s="9" t="s">
        <v>253</v>
      </c>
      <c r="E86" s="9">
        <v>6</v>
      </c>
      <c r="F8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6" s="27"/>
      <c r="H86" s="27"/>
      <c r="I86" s="27"/>
      <c r="J86" s="27"/>
      <c r="K86" s="27"/>
      <c r="L86" s="27"/>
    </row>
    <row r="87" spans="1:12" ht="18" hidden="1" x14ac:dyDescent="0.35">
      <c r="A87" s="9">
        <v>37152</v>
      </c>
      <c r="B87" s="9" t="s">
        <v>139</v>
      </c>
      <c r="C87" s="9" t="s">
        <v>136</v>
      </c>
      <c r="D87" s="9" t="s">
        <v>143</v>
      </c>
      <c r="E87" s="9">
        <v>6</v>
      </c>
      <c r="F8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7" s="27"/>
      <c r="H87" s="27"/>
      <c r="I87" s="27"/>
      <c r="J87" s="27"/>
      <c r="K87" s="27"/>
      <c r="L87" s="27"/>
    </row>
    <row r="88" spans="1:12" ht="18" hidden="1" x14ac:dyDescent="0.35">
      <c r="A88" s="9">
        <v>37240</v>
      </c>
      <c r="B88" s="9" t="s">
        <v>250</v>
      </c>
      <c r="C88" s="9" t="s">
        <v>227</v>
      </c>
      <c r="D88" s="9" t="s">
        <v>252</v>
      </c>
      <c r="E88" s="9">
        <v>6</v>
      </c>
      <c r="F8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8" s="27"/>
      <c r="H88" s="27"/>
      <c r="I88" s="27"/>
      <c r="J88" s="27"/>
      <c r="K88" s="27"/>
      <c r="L88" s="27"/>
    </row>
    <row r="89" spans="1:12" ht="18" hidden="1" x14ac:dyDescent="0.35">
      <c r="A89" s="9">
        <v>37272</v>
      </c>
      <c r="B89" s="9" t="s">
        <v>99</v>
      </c>
      <c r="C89" s="9" t="s">
        <v>100</v>
      </c>
      <c r="D89" s="9" t="s">
        <v>108</v>
      </c>
      <c r="E89" s="9">
        <v>6</v>
      </c>
      <c r="F8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9" s="27"/>
      <c r="H89" s="27"/>
      <c r="I89" s="27"/>
      <c r="J89" s="27"/>
      <c r="K89" s="27"/>
      <c r="L89" s="27"/>
    </row>
    <row r="90" spans="1:12" ht="18" hidden="1" x14ac:dyDescent="0.35">
      <c r="A90" s="9">
        <v>37350</v>
      </c>
      <c r="B90" s="9" t="s">
        <v>114</v>
      </c>
      <c r="C90" s="9" t="s">
        <v>100</v>
      </c>
      <c r="D90" s="9" t="s">
        <v>117</v>
      </c>
      <c r="E90" s="9">
        <v>6</v>
      </c>
      <c r="F9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0" s="27"/>
      <c r="H90" s="27"/>
      <c r="I90" s="27"/>
      <c r="J90" s="27"/>
      <c r="K90" s="27"/>
      <c r="L90" s="27"/>
    </row>
    <row r="91" spans="1:12" ht="18" hidden="1" x14ac:dyDescent="0.35">
      <c r="A91" s="9">
        <v>37396</v>
      </c>
      <c r="B91" s="9" t="s">
        <v>243</v>
      </c>
      <c r="C91" s="9" t="s">
        <v>227</v>
      </c>
      <c r="D91" s="9" t="s">
        <v>247</v>
      </c>
      <c r="E91" s="9">
        <v>6</v>
      </c>
      <c r="F9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1" s="27"/>
      <c r="H91" s="27"/>
      <c r="I91" s="27"/>
      <c r="J91" s="27"/>
      <c r="K91" s="27"/>
      <c r="L91" s="27"/>
    </row>
    <row r="92" spans="1:12" ht="18" hidden="1" x14ac:dyDescent="0.35">
      <c r="A92" s="9">
        <v>37506</v>
      </c>
      <c r="B92" s="9" t="s">
        <v>250</v>
      </c>
      <c r="C92" s="9" t="s">
        <v>227</v>
      </c>
      <c r="D92" s="9" t="s">
        <v>254</v>
      </c>
      <c r="E92" s="9">
        <v>6</v>
      </c>
      <c r="F9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2" s="27"/>
      <c r="H92" s="27"/>
      <c r="I92" s="27"/>
      <c r="J92" s="27"/>
      <c r="K92" s="27"/>
      <c r="L92" s="27"/>
    </row>
    <row r="93" spans="1:12" ht="18" hidden="1" x14ac:dyDescent="0.35">
      <c r="A93" s="9">
        <v>38167</v>
      </c>
      <c r="B93" s="9" t="s">
        <v>198</v>
      </c>
      <c r="C93" s="9" t="s">
        <v>156</v>
      </c>
      <c r="D93" s="9" t="s">
        <v>203</v>
      </c>
      <c r="E93" s="9">
        <v>6</v>
      </c>
      <c r="F9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3" s="27"/>
      <c r="H93" s="27"/>
      <c r="I93" s="27"/>
      <c r="J93" s="27"/>
      <c r="K93" s="27"/>
      <c r="L93" s="27"/>
    </row>
    <row r="94" spans="1:12" ht="18" hidden="1" x14ac:dyDescent="0.35">
      <c r="A94" s="9">
        <v>39034</v>
      </c>
      <c r="B94" s="9" t="s">
        <v>210</v>
      </c>
      <c r="C94" s="9" t="s">
        <v>156</v>
      </c>
      <c r="D94" s="9" t="s">
        <v>214</v>
      </c>
      <c r="E94" s="9">
        <v>6</v>
      </c>
      <c r="F9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4" s="27"/>
      <c r="H94" s="27"/>
      <c r="I94" s="27"/>
      <c r="J94" s="27"/>
      <c r="K94" s="27"/>
      <c r="L94" s="27"/>
    </row>
    <row r="95" spans="1:12" ht="18" hidden="1" x14ac:dyDescent="0.35">
      <c r="A95" s="9">
        <v>39143</v>
      </c>
      <c r="B95" s="9" t="s">
        <v>178</v>
      </c>
      <c r="C95" s="9" t="s">
        <v>156</v>
      </c>
      <c r="D95" s="9" t="s">
        <v>186</v>
      </c>
      <c r="E95" s="9">
        <v>6</v>
      </c>
      <c r="F9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5" s="27"/>
      <c r="H95" s="27"/>
      <c r="I95" s="27"/>
      <c r="J95" s="27"/>
      <c r="K95" s="27"/>
      <c r="L95" s="27"/>
    </row>
    <row r="96" spans="1:12" ht="18" hidden="1" x14ac:dyDescent="0.35">
      <c r="A96" s="9">
        <v>39973</v>
      </c>
      <c r="B96" s="9" t="s">
        <v>248</v>
      </c>
      <c r="C96" s="9" t="s">
        <v>227</v>
      </c>
      <c r="D96" s="9" t="s">
        <v>249</v>
      </c>
      <c r="E96" s="9">
        <v>6</v>
      </c>
      <c r="F9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6" s="27"/>
      <c r="H96" s="27"/>
      <c r="I96" s="27"/>
      <c r="J96" s="27"/>
      <c r="K96" s="27"/>
      <c r="L96" s="27"/>
    </row>
    <row r="97" spans="1:12" ht="18" hidden="1" x14ac:dyDescent="0.35">
      <c r="A97" s="9">
        <v>40369</v>
      </c>
      <c r="B97" s="9" t="s">
        <v>215</v>
      </c>
      <c r="C97" s="9" t="s">
        <v>156</v>
      </c>
      <c r="D97" s="9" t="s">
        <v>224</v>
      </c>
      <c r="E97" s="9">
        <v>6</v>
      </c>
      <c r="F9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7" s="27"/>
      <c r="H97" s="27"/>
      <c r="I97" s="27"/>
      <c r="J97" s="27"/>
      <c r="K97" s="27"/>
      <c r="L97" s="27"/>
    </row>
    <row r="98" spans="1:12" ht="18" hidden="1" x14ac:dyDescent="0.35">
      <c r="A98" s="9">
        <v>40677</v>
      </c>
      <c r="B98" s="9" t="s">
        <v>243</v>
      </c>
      <c r="C98" s="9" t="s">
        <v>227</v>
      </c>
      <c r="D98" s="9" t="s">
        <v>245</v>
      </c>
      <c r="E98" s="9">
        <v>12</v>
      </c>
      <c r="F9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8" s="27"/>
      <c r="H98" s="27"/>
      <c r="I98" s="27"/>
      <c r="J98" s="27"/>
      <c r="K98" s="27"/>
      <c r="L98" s="27"/>
    </row>
    <row r="99" spans="1:12" ht="18" hidden="1" x14ac:dyDescent="0.35">
      <c r="A99" s="9">
        <v>41536</v>
      </c>
      <c r="B99" s="9" t="s">
        <v>50</v>
      </c>
      <c r="C99" s="9" t="s">
        <v>45</v>
      </c>
      <c r="D99" s="9" t="s">
        <v>51</v>
      </c>
      <c r="E99" s="9">
        <v>6</v>
      </c>
      <c r="F9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9" s="27"/>
      <c r="H99" s="27"/>
      <c r="I99" s="27"/>
      <c r="J99" s="27"/>
      <c r="K99" s="27"/>
      <c r="L99" s="27"/>
    </row>
    <row r="100" spans="1:12" ht="18" hidden="1" x14ac:dyDescent="0.35">
      <c r="A100" s="9">
        <v>41789</v>
      </c>
      <c r="B100" s="9" t="s">
        <v>205</v>
      </c>
      <c r="C100" s="9" t="s">
        <v>156</v>
      </c>
      <c r="D100" s="9" t="s">
        <v>208</v>
      </c>
      <c r="E100" s="9">
        <v>6</v>
      </c>
      <c r="F10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0" s="27"/>
      <c r="H100" s="27"/>
      <c r="I100" s="27"/>
      <c r="J100" s="27"/>
      <c r="K100" s="27"/>
      <c r="L100" s="27"/>
    </row>
    <row r="101" spans="1:12" ht="18" hidden="1" x14ac:dyDescent="0.35">
      <c r="A101" s="9">
        <v>42446</v>
      </c>
      <c r="B101" s="9" t="s">
        <v>158</v>
      </c>
      <c r="C101" s="9" t="s">
        <v>156</v>
      </c>
      <c r="D101" s="9" t="s">
        <v>165</v>
      </c>
      <c r="E101" s="9">
        <v>6</v>
      </c>
      <c r="F10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1" s="27"/>
      <c r="H101" s="27"/>
      <c r="I101" s="27"/>
      <c r="J101" s="27"/>
      <c r="K101" s="27"/>
      <c r="L101" s="27"/>
    </row>
    <row r="102" spans="1:12" ht="18" hidden="1" x14ac:dyDescent="0.35">
      <c r="A102" s="9">
        <v>42817</v>
      </c>
      <c r="B102" s="9" t="s">
        <v>99</v>
      </c>
      <c r="C102" s="9" t="s">
        <v>100</v>
      </c>
      <c r="D102" s="9" t="s">
        <v>107</v>
      </c>
      <c r="E102" s="9">
        <v>6</v>
      </c>
      <c r="F10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2" s="27"/>
      <c r="H102" s="27"/>
      <c r="I102" s="27"/>
      <c r="J102" s="27"/>
      <c r="K102" s="27"/>
      <c r="L102" s="27"/>
    </row>
    <row r="103" spans="1:12" ht="18" hidden="1" x14ac:dyDescent="0.35">
      <c r="A103" s="9">
        <v>43490</v>
      </c>
      <c r="B103" s="9" t="s">
        <v>178</v>
      </c>
      <c r="C103" s="9" t="s">
        <v>156</v>
      </c>
      <c r="D103" s="9" t="s">
        <v>189</v>
      </c>
      <c r="E103" s="9">
        <v>6</v>
      </c>
      <c r="F10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3" s="27"/>
      <c r="H103" s="27"/>
      <c r="I103" s="27"/>
      <c r="J103" s="27"/>
      <c r="K103" s="27"/>
      <c r="L103" s="27"/>
    </row>
    <row r="104" spans="1:12" ht="18" hidden="1" x14ac:dyDescent="0.35">
      <c r="A104" s="9">
        <v>43634</v>
      </c>
      <c r="B104" s="9" t="s">
        <v>118</v>
      </c>
      <c r="C104" s="9" t="s">
        <v>100</v>
      </c>
      <c r="D104" s="9" t="s">
        <v>128</v>
      </c>
      <c r="E104" s="9">
        <v>12</v>
      </c>
      <c r="F10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4" s="27"/>
      <c r="H104" s="27"/>
      <c r="I104" s="27"/>
      <c r="J104" s="27"/>
      <c r="K104" s="27"/>
      <c r="L104" s="27"/>
    </row>
    <row r="105" spans="1:12" ht="18" hidden="1" x14ac:dyDescent="0.35">
      <c r="A105" s="9">
        <v>43699</v>
      </c>
      <c r="B105" s="9" t="s">
        <v>139</v>
      </c>
      <c r="C105" s="9" t="s">
        <v>136</v>
      </c>
      <c r="D105" s="9" t="s">
        <v>144</v>
      </c>
      <c r="E105" s="9">
        <v>6</v>
      </c>
      <c r="F10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5" s="27"/>
      <c r="H105" s="27"/>
      <c r="I105" s="27"/>
      <c r="J105" s="27"/>
      <c r="K105" s="27"/>
      <c r="L105" s="27"/>
    </row>
    <row r="106" spans="1:12" ht="18" hidden="1" x14ac:dyDescent="0.35">
      <c r="A106" s="9">
        <v>44485</v>
      </c>
      <c r="B106" s="9" t="s">
        <v>226</v>
      </c>
      <c r="C106" s="9" t="s">
        <v>227</v>
      </c>
      <c r="D106" s="9" t="s">
        <v>236</v>
      </c>
      <c r="E106" s="9">
        <v>6</v>
      </c>
      <c r="F10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6" s="27"/>
      <c r="H106" s="27"/>
      <c r="I106" s="27"/>
      <c r="J106" s="27"/>
      <c r="K106" s="27"/>
      <c r="L106" s="27"/>
    </row>
    <row r="107" spans="1:12" ht="18" hidden="1" x14ac:dyDescent="0.35">
      <c r="A107" s="9">
        <v>45247</v>
      </c>
      <c r="B107" s="9" t="s">
        <v>158</v>
      </c>
      <c r="C107" s="9" t="s">
        <v>156</v>
      </c>
      <c r="D107" s="9" t="s">
        <v>159</v>
      </c>
      <c r="E107" s="9">
        <v>6</v>
      </c>
      <c r="F10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7" s="27"/>
      <c r="H107" s="27"/>
      <c r="I107" s="27"/>
      <c r="J107" s="27"/>
      <c r="K107" s="27"/>
      <c r="L107" s="27"/>
    </row>
    <row r="108" spans="1:12" ht="18" hidden="1" x14ac:dyDescent="0.35">
      <c r="A108" s="9">
        <v>45248</v>
      </c>
      <c r="B108" s="9" t="s">
        <v>158</v>
      </c>
      <c r="C108" s="9" t="s">
        <v>156</v>
      </c>
      <c r="D108" s="9" t="s">
        <v>163</v>
      </c>
      <c r="E108" s="9">
        <v>6</v>
      </c>
      <c r="F10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8" s="27"/>
      <c r="H108" s="27"/>
      <c r="I108" s="27"/>
      <c r="J108" s="27"/>
      <c r="K108" s="27"/>
      <c r="L108" s="27"/>
    </row>
    <row r="109" spans="1:12" ht="18" hidden="1" x14ac:dyDescent="0.35">
      <c r="A109" s="9">
        <v>46217</v>
      </c>
      <c r="B109" s="9" t="s">
        <v>147</v>
      </c>
      <c r="C109" s="9" t="s">
        <v>136</v>
      </c>
      <c r="D109" s="9" t="s">
        <v>154</v>
      </c>
      <c r="E109" s="9">
        <v>12</v>
      </c>
      <c r="F10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9" s="27"/>
      <c r="H109" s="27"/>
      <c r="I109" s="27"/>
      <c r="J109" s="27"/>
      <c r="K109" s="27"/>
      <c r="L109" s="27"/>
    </row>
    <row r="110" spans="1:12" ht="18" hidden="1" x14ac:dyDescent="0.35">
      <c r="A110" s="9">
        <v>46286</v>
      </c>
      <c r="B110" s="9" t="s">
        <v>198</v>
      </c>
      <c r="C110" s="9" t="s">
        <v>156</v>
      </c>
      <c r="D110" s="9" t="s">
        <v>204</v>
      </c>
      <c r="E110" s="9">
        <v>6</v>
      </c>
      <c r="F11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0" s="27"/>
      <c r="H110" s="27"/>
      <c r="I110" s="27"/>
      <c r="J110" s="27"/>
      <c r="K110" s="27"/>
      <c r="L110" s="27"/>
    </row>
    <row r="111" spans="1:12" ht="18" hidden="1" x14ac:dyDescent="0.35">
      <c r="A111" s="9">
        <v>46889</v>
      </c>
      <c r="B111" s="9" t="s">
        <v>147</v>
      </c>
      <c r="C111" s="9" t="s">
        <v>136</v>
      </c>
      <c r="D111" s="9" t="s">
        <v>151</v>
      </c>
      <c r="E111" s="9">
        <v>6</v>
      </c>
      <c r="F11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1" s="27"/>
      <c r="H111" s="27"/>
      <c r="I111" s="27"/>
      <c r="J111" s="27"/>
      <c r="K111" s="27"/>
      <c r="L111" s="27"/>
    </row>
    <row r="112" spans="1:12" ht="18" hidden="1" x14ac:dyDescent="0.35">
      <c r="A112" s="9">
        <v>47463</v>
      </c>
      <c r="B112" s="9" t="s">
        <v>243</v>
      </c>
      <c r="C112" s="9" t="s">
        <v>227</v>
      </c>
      <c r="D112" s="9" t="s">
        <v>244</v>
      </c>
      <c r="E112" s="9">
        <v>12</v>
      </c>
      <c r="F11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2" s="27"/>
      <c r="H112" s="27"/>
      <c r="I112" s="27"/>
      <c r="J112" s="27"/>
      <c r="K112" s="27"/>
      <c r="L112" s="27"/>
    </row>
    <row r="113" spans="1:12" ht="18" hidden="1" x14ac:dyDescent="0.35">
      <c r="A113" s="9">
        <v>47464</v>
      </c>
      <c r="B113" s="9" t="s">
        <v>258</v>
      </c>
      <c r="C113" s="9" t="s">
        <v>227</v>
      </c>
      <c r="D113" s="9" t="s">
        <v>259</v>
      </c>
      <c r="E113" s="9">
        <v>12</v>
      </c>
      <c r="F11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3" s="27"/>
      <c r="H113" s="27"/>
      <c r="I113" s="27"/>
      <c r="J113" s="27"/>
      <c r="K113" s="27"/>
      <c r="L113" s="27"/>
    </row>
    <row r="114" spans="1:12" ht="18" hidden="1" x14ac:dyDescent="0.35">
      <c r="A114" s="9">
        <v>47824</v>
      </c>
      <c r="B114" s="9" t="s">
        <v>250</v>
      </c>
      <c r="C114" s="9" t="s">
        <v>227</v>
      </c>
      <c r="D114" s="9" t="s">
        <v>255</v>
      </c>
      <c r="E114" s="9">
        <v>6</v>
      </c>
      <c r="F11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4" s="27"/>
      <c r="H114" s="27"/>
      <c r="I114" s="27"/>
      <c r="J114" s="27"/>
      <c r="K114" s="27"/>
      <c r="L114" s="27"/>
    </row>
    <row r="115" spans="1:12" ht="18" hidden="1" x14ac:dyDescent="0.35">
      <c r="A115" s="9">
        <v>47825</v>
      </c>
      <c r="B115" s="9" t="s">
        <v>226</v>
      </c>
      <c r="C115" s="9" t="s">
        <v>227</v>
      </c>
      <c r="D115" s="9" t="s">
        <v>232</v>
      </c>
      <c r="E115" s="9">
        <v>6</v>
      </c>
      <c r="F11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5" s="27"/>
      <c r="H115" s="27"/>
      <c r="I115" s="27"/>
      <c r="J115" s="27"/>
      <c r="K115" s="27"/>
      <c r="L115" s="27"/>
    </row>
    <row r="116" spans="1:12" ht="18" hidden="1" x14ac:dyDescent="0.35">
      <c r="A116" s="9">
        <v>48822</v>
      </c>
      <c r="B116" s="9" t="s">
        <v>92</v>
      </c>
      <c r="C116" s="9" t="s">
        <v>54</v>
      </c>
      <c r="D116" s="9" t="s">
        <v>98</v>
      </c>
      <c r="E116" s="9">
        <v>24</v>
      </c>
      <c r="F11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6" s="27"/>
      <c r="H116" s="27"/>
      <c r="I116" s="27"/>
      <c r="J116" s="27"/>
      <c r="K116" s="27"/>
      <c r="L116" s="27"/>
    </row>
    <row r="117" spans="1:12" ht="18" hidden="1" x14ac:dyDescent="0.35">
      <c r="A117" s="9">
        <v>49768</v>
      </c>
      <c r="B117" s="9" t="s">
        <v>178</v>
      </c>
      <c r="C117" s="9" t="s">
        <v>156</v>
      </c>
      <c r="D117" s="9" t="s">
        <v>191</v>
      </c>
      <c r="E117" s="9">
        <v>6</v>
      </c>
      <c r="F11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7" s="27"/>
      <c r="H117" s="27"/>
      <c r="I117" s="27"/>
      <c r="J117" s="27"/>
      <c r="K117" s="27"/>
      <c r="L117" s="27"/>
    </row>
    <row r="118" spans="1:12" ht="18" hidden="1" x14ac:dyDescent="0.35">
      <c r="A118" s="9">
        <v>50514</v>
      </c>
      <c r="B118" s="9" t="s">
        <v>147</v>
      </c>
      <c r="C118" s="9" t="s">
        <v>136</v>
      </c>
      <c r="D118" s="9" t="s">
        <v>150</v>
      </c>
      <c r="E118" s="9">
        <v>6</v>
      </c>
      <c r="F11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8" s="27"/>
      <c r="H118" s="27"/>
      <c r="I118" s="27"/>
      <c r="J118" s="27"/>
      <c r="K118" s="27"/>
      <c r="L118" s="27"/>
    </row>
    <row r="119" spans="1:12" ht="18" hidden="1" x14ac:dyDescent="0.35">
      <c r="A119" s="9">
        <v>51559</v>
      </c>
      <c r="B119" s="9" t="s">
        <v>118</v>
      </c>
      <c r="C119" s="9" t="s">
        <v>100</v>
      </c>
      <c r="D119" s="9" t="s">
        <v>119</v>
      </c>
      <c r="E119" s="9">
        <v>12</v>
      </c>
      <c r="F11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9" s="27"/>
      <c r="H119" s="27"/>
      <c r="I119" s="27"/>
      <c r="J119" s="27"/>
      <c r="K119" s="27"/>
      <c r="L119" s="27"/>
    </row>
    <row r="120" spans="1:12" ht="18" hidden="1" x14ac:dyDescent="0.35">
      <c r="A120" s="9">
        <v>51560</v>
      </c>
      <c r="B120" s="9" t="s">
        <v>250</v>
      </c>
      <c r="C120" s="9" t="s">
        <v>227</v>
      </c>
      <c r="D120" s="9" t="s">
        <v>251</v>
      </c>
      <c r="E120" s="9">
        <v>12</v>
      </c>
      <c r="F12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0" s="27"/>
      <c r="H120" s="27"/>
      <c r="I120" s="27"/>
      <c r="J120" s="27"/>
      <c r="K120" s="27"/>
      <c r="L120" s="27"/>
    </row>
    <row r="121" spans="1:12" ht="18" hidden="1" x14ac:dyDescent="0.35">
      <c r="A121" s="9">
        <v>51561</v>
      </c>
      <c r="B121" s="9" t="s">
        <v>139</v>
      </c>
      <c r="C121" s="9" t="s">
        <v>136</v>
      </c>
      <c r="D121" s="9" t="s">
        <v>146</v>
      </c>
      <c r="E121" s="9">
        <v>12</v>
      </c>
      <c r="F12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1" s="27"/>
      <c r="H121" s="27"/>
      <c r="I121" s="27"/>
      <c r="J121" s="27"/>
      <c r="K121" s="27"/>
      <c r="L121" s="27"/>
    </row>
    <row r="122" spans="1:12" ht="18" hidden="1" x14ac:dyDescent="0.35">
      <c r="A122" s="9">
        <v>52397</v>
      </c>
      <c r="B122" s="9" t="s">
        <v>205</v>
      </c>
      <c r="C122" s="9" t="s">
        <v>156</v>
      </c>
      <c r="D122" s="9" t="s">
        <v>207</v>
      </c>
      <c r="E122" s="9">
        <v>6</v>
      </c>
      <c r="F12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2" s="27"/>
      <c r="H122" s="27"/>
      <c r="I122" s="27"/>
      <c r="J122" s="27"/>
      <c r="K122" s="27"/>
      <c r="L122" s="27"/>
    </row>
    <row r="123" spans="1:12" ht="18" hidden="1" x14ac:dyDescent="0.35">
      <c r="A123" s="9">
        <v>52415</v>
      </c>
      <c r="B123" s="9" t="s">
        <v>129</v>
      </c>
      <c r="C123" s="9" t="s">
        <v>100</v>
      </c>
      <c r="D123" s="9" t="s">
        <v>132</v>
      </c>
      <c r="E123" s="9">
        <v>12</v>
      </c>
      <c r="F12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3" s="27"/>
      <c r="H123" s="27"/>
      <c r="I123" s="27"/>
      <c r="J123" s="27"/>
      <c r="K123" s="27"/>
      <c r="L123" s="27"/>
    </row>
    <row r="124" spans="1:12" ht="18" hidden="1" x14ac:dyDescent="0.35">
      <c r="A124" s="9">
        <v>53020</v>
      </c>
      <c r="B124" s="9" t="s">
        <v>129</v>
      </c>
      <c r="C124" s="9" t="s">
        <v>100</v>
      </c>
      <c r="D124" s="9" t="s">
        <v>133</v>
      </c>
      <c r="E124" s="9">
        <v>6</v>
      </c>
      <c r="F12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4" s="27"/>
      <c r="H124" s="27"/>
      <c r="I124" s="27"/>
      <c r="J124" s="27"/>
      <c r="K124" s="27"/>
      <c r="L124" s="27"/>
    </row>
    <row r="125" spans="1:12" ht="18" hidden="1" x14ac:dyDescent="0.35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5" s="27"/>
      <c r="H125" s="27"/>
      <c r="I125" s="27"/>
      <c r="J125" s="27"/>
      <c r="K125" s="27"/>
      <c r="L125" s="27"/>
    </row>
    <row r="126" spans="1:12" ht="18" hidden="1" x14ac:dyDescent="0.35">
      <c r="A126" s="9">
        <v>53294</v>
      </c>
      <c r="B126" s="9" t="s">
        <v>210</v>
      </c>
      <c r="C126" s="9" t="s">
        <v>156</v>
      </c>
      <c r="D126" s="9" t="s">
        <v>213</v>
      </c>
      <c r="E126" s="9">
        <v>6</v>
      </c>
      <c r="F12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6" s="27"/>
      <c r="H126" s="27"/>
      <c r="I126" s="27"/>
      <c r="J126" s="27"/>
      <c r="K126" s="27"/>
      <c r="L126" s="27"/>
    </row>
    <row r="127" spans="1:12" ht="18" hidden="1" x14ac:dyDescent="0.35">
      <c r="A127" s="9">
        <v>53301</v>
      </c>
      <c r="B127" s="9" t="s">
        <v>44</v>
      </c>
      <c r="C127" s="9" t="s">
        <v>45</v>
      </c>
      <c r="D127" s="9" t="s">
        <v>47</v>
      </c>
      <c r="E127" s="9">
        <v>6</v>
      </c>
      <c r="F12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7" s="27"/>
      <c r="H127" s="27"/>
      <c r="I127" s="27"/>
      <c r="J127" s="27"/>
      <c r="K127" s="27"/>
      <c r="L127" s="27"/>
    </row>
    <row r="128" spans="1:12" ht="18" hidden="1" x14ac:dyDescent="0.35">
      <c r="A128" s="9">
        <v>53307</v>
      </c>
      <c r="B128" s="9" t="s">
        <v>215</v>
      </c>
      <c r="C128" s="9" t="s">
        <v>156</v>
      </c>
      <c r="D128" s="9" t="s">
        <v>216</v>
      </c>
      <c r="E128" s="9">
        <v>6</v>
      </c>
      <c r="F12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8" s="27"/>
      <c r="H128" s="27"/>
      <c r="I128" s="27"/>
      <c r="J128" s="27"/>
      <c r="K128" s="27"/>
      <c r="L128" s="27"/>
    </row>
    <row r="129" spans="1:12" ht="18" hidden="1" x14ac:dyDescent="0.35">
      <c r="A129" s="9">
        <v>54419</v>
      </c>
      <c r="B129" s="9" t="s">
        <v>23</v>
      </c>
      <c r="C129" s="9" t="s">
        <v>24</v>
      </c>
      <c r="D129" s="9" t="s">
        <v>28</v>
      </c>
      <c r="E129" s="9">
        <v>24</v>
      </c>
      <c r="F12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9" s="27"/>
      <c r="H129" s="27"/>
      <c r="I129" s="27"/>
      <c r="J129" s="27"/>
      <c r="K129" s="27"/>
      <c r="L129" s="27"/>
    </row>
    <row r="130" spans="1:12" ht="18" hidden="1" x14ac:dyDescent="0.35">
      <c r="A130" s="9">
        <v>54488</v>
      </c>
      <c r="B130" s="9" t="s">
        <v>147</v>
      </c>
      <c r="C130" s="9" t="s">
        <v>136</v>
      </c>
      <c r="D130" s="9" t="s">
        <v>152</v>
      </c>
      <c r="E130" s="9">
        <v>6</v>
      </c>
      <c r="F13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0" s="27"/>
      <c r="H130" s="27"/>
      <c r="I130" s="27"/>
      <c r="J130" s="27"/>
      <c r="K130" s="27"/>
      <c r="L130" s="27"/>
    </row>
    <row r="131" spans="1:12" ht="18" hidden="1" x14ac:dyDescent="0.35">
      <c r="A131" s="9">
        <v>54489</v>
      </c>
      <c r="B131" s="9" t="s">
        <v>147</v>
      </c>
      <c r="C131" s="9" t="s">
        <v>136</v>
      </c>
      <c r="D131" s="9" t="s">
        <v>153</v>
      </c>
      <c r="E131" s="9">
        <v>6</v>
      </c>
      <c r="F13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1" s="27"/>
      <c r="H131" s="27"/>
      <c r="I131" s="27"/>
      <c r="J131" s="27"/>
      <c r="K131" s="27"/>
      <c r="L131" s="27"/>
    </row>
    <row r="132" spans="1:12" ht="18" hidden="1" x14ac:dyDescent="0.35">
      <c r="A132" s="9">
        <v>54494</v>
      </c>
      <c r="B132" s="9" t="s">
        <v>178</v>
      </c>
      <c r="C132" s="9" t="s">
        <v>156</v>
      </c>
      <c r="D132" s="9" t="s">
        <v>185</v>
      </c>
      <c r="E132" s="9">
        <v>6</v>
      </c>
      <c r="F13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2" s="27"/>
      <c r="H132" s="27"/>
      <c r="I132" s="27"/>
      <c r="J132" s="27"/>
      <c r="K132" s="27"/>
      <c r="L132" s="27"/>
    </row>
    <row r="133" spans="1:12" ht="18" hidden="1" x14ac:dyDescent="0.35">
      <c r="A133" s="9">
        <v>55272</v>
      </c>
      <c r="B133" s="9" t="s">
        <v>99</v>
      </c>
      <c r="C133" s="9" t="s">
        <v>100</v>
      </c>
      <c r="D133" s="9" t="s">
        <v>102</v>
      </c>
      <c r="E133" s="9">
        <v>6</v>
      </c>
      <c r="F13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3" s="27"/>
      <c r="H133" s="27"/>
      <c r="I133" s="27"/>
      <c r="J133" s="27"/>
      <c r="K133" s="27"/>
      <c r="L133" s="27"/>
    </row>
    <row r="134" spans="1:12" ht="18" hidden="1" x14ac:dyDescent="0.35">
      <c r="A134" s="9">
        <v>55602</v>
      </c>
      <c r="B134" s="9" t="s">
        <v>226</v>
      </c>
      <c r="C134" s="9" t="s">
        <v>227</v>
      </c>
      <c r="D134" s="9" t="s">
        <v>233</v>
      </c>
      <c r="E134" s="9">
        <v>6</v>
      </c>
      <c r="F13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4" s="27"/>
      <c r="H134" s="27"/>
      <c r="I134" s="27"/>
      <c r="J134" s="27"/>
      <c r="K134" s="27"/>
      <c r="L134" s="27"/>
    </row>
    <row r="135" spans="1:12" ht="18" hidden="1" x14ac:dyDescent="0.35">
      <c r="A135" s="9">
        <v>55624</v>
      </c>
      <c r="B135" s="9" t="s">
        <v>99</v>
      </c>
      <c r="C135" s="9" t="s">
        <v>100</v>
      </c>
      <c r="D135" s="9" t="s">
        <v>110</v>
      </c>
      <c r="E135" s="9">
        <v>6</v>
      </c>
      <c r="F13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5" s="27"/>
      <c r="H135" s="27"/>
      <c r="I135" s="27"/>
      <c r="J135" s="27"/>
      <c r="K135" s="27"/>
      <c r="L135" s="27"/>
    </row>
    <row r="136" spans="1:12" ht="18" hidden="1" x14ac:dyDescent="0.35">
      <c r="A136" s="9">
        <v>55914</v>
      </c>
      <c r="B136" s="9" t="s">
        <v>50</v>
      </c>
      <c r="C136" s="9" t="s">
        <v>45</v>
      </c>
      <c r="D136" s="9" t="s">
        <v>52</v>
      </c>
      <c r="E136" s="9">
        <v>6</v>
      </c>
      <c r="F13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6" s="27"/>
      <c r="H136" s="27"/>
      <c r="I136" s="27"/>
      <c r="J136" s="27"/>
      <c r="K136" s="27"/>
      <c r="L136" s="27"/>
    </row>
    <row r="137" spans="1:12" ht="18" hidden="1" x14ac:dyDescent="0.35">
      <c r="A137" s="9">
        <v>56067</v>
      </c>
      <c r="B137" s="9" t="s">
        <v>129</v>
      </c>
      <c r="C137" s="9" t="s">
        <v>100</v>
      </c>
      <c r="D137" s="9" t="s">
        <v>130</v>
      </c>
      <c r="E137" s="9">
        <v>6</v>
      </c>
      <c r="F13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7" s="27"/>
      <c r="H137" s="27"/>
      <c r="I137" s="27"/>
      <c r="J137" s="27"/>
      <c r="K137" s="27"/>
      <c r="L137" s="27"/>
    </row>
    <row r="138" spans="1:12" ht="18" hidden="1" x14ac:dyDescent="0.35">
      <c r="A138" s="9">
        <v>56072</v>
      </c>
      <c r="B138" s="9" t="s">
        <v>226</v>
      </c>
      <c r="C138" s="9" t="s">
        <v>227</v>
      </c>
      <c r="D138" s="9" t="s">
        <v>229</v>
      </c>
      <c r="E138" s="9">
        <v>6</v>
      </c>
      <c r="F13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8" s="27"/>
      <c r="H138" s="27"/>
      <c r="I138" s="27"/>
      <c r="J138" s="27"/>
      <c r="K138" s="27"/>
      <c r="L138" s="27"/>
    </row>
    <row r="139" spans="1:12" ht="18" hidden="1" x14ac:dyDescent="0.35">
      <c r="A139" s="9">
        <v>56309</v>
      </c>
      <c r="B139" s="9" t="s">
        <v>118</v>
      </c>
      <c r="C139" s="9" t="s">
        <v>100</v>
      </c>
      <c r="D139" s="9" t="s">
        <v>126</v>
      </c>
      <c r="E139" s="9">
        <v>6</v>
      </c>
      <c r="F13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9" s="27"/>
      <c r="H139" s="27"/>
      <c r="I139" s="27"/>
      <c r="J139" s="27"/>
      <c r="K139" s="27"/>
      <c r="L139" s="27"/>
    </row>
    <row r="140" spans="1:12" ht="18" hidden="1" x14ac:dyDescent="0.35">
      <c r="A140" s="9">
        <v>56324</v>
      </c>
      <c r="B140" s="9" t="s">
        <v>226</v>
      </c>
      <c r="C140" s="9" t="s">
        <v>227</v>
      </c>
      <c r="D140" s="9" t="s">
        <v>231</v>
      </c>
      <c r="E140" s="9">
        <v>6</v>
      </c>
      <c r="F14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0" s="27"/>
      <c r="H140" s="27"/>
      <c r="I140" s="27"/>
      <c r="J140" s="27"/>
      <c r="K140" s="27"/>
      <c r="L140" s="27"/>
    </row>
    <row r="141" spans="1:12" ht="18" hidden="1" x14ac:dyDescent="0.35">
      <c r="A141" s="9">
        <v>56662</v>
      </c>
      <c r="B141" s="9" t="s">
        <v>99</v>
      </c>
      <c r="C141" s="9" t="s">
        <v>100</v>
      </c>
      <c r="D141" s="9" t="s">
        <v>103</v>
      </c>
      <c r="E141" s="9">
        <v>12</v>
      </c>
      <c r="F14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1" s="27"/>
      <c r="H141" s="27"/>
      <c r="I141" s="27"/>
      <c r="J141" s="27"/>
      <c r="K141" s="27"/>
      <c r="L141" s="27"/>
    </row>
    <row r="142" spans="1:12" ht="18" hidden="1" x14ac:dyDescent="0.35">
      <c r="A142" s="9">
        <v>57711</v>
      </c>
      <c r="B142" s="9" t="s">
        <v>240</v>
      </c>
      <c r="C142" s="9" t="s">
        <v>227</v>
      </c>
      <c r="D142" s="9" t="s">
        <v>242</v>
      </c>
      <c r="E142" s="9">
        <v>12</v>
      </c>
      <c r="F14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2" s="27"/>
      <c r="H142" s="27"/>
      <c r="I142" s="27"/>
      <c r="J142" s="27"/>
      <c r="K142" s="27"/>
      <c r="L142" s="27"/>
    </row>
    <row r="143" spans="1:12" ht="18" hidden="1" x14ac:dyDescent="0.35">
      <c r="A143" s="9">
        <v>58071</v>
      </c>
      <c r="B143" s="9" t="s">
        <v>171</v>
      </c>
      <c r="C143" s="9" t="s">
        <v>156</v>
      </c>
      <c r="D143" s="9" t="s">
        <v>177</v>
      </c>
      <c r="E143" s="9">
        <v>6</v>
      </c>
      <c r="F14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3" s="27"/>
      <c r="H143" s="27"/>
      <c r="I143" s="27"/>
      <c r="J143" s="27"/>
      <c r="K143" s="27"/>
      <c r="L143" s="27"/>
    </row>
    <row r="144" spans="1:12" ht="18" hidden="1" x14ac:dyDescent="0.35">
      <c r="A144" s="9">
        <v>58444</v>
      </c>
      <c r="B144" s="9" t="s">
        <v>178</v>
      </c>
      <c r="C144" s="9" t="s">
        <v>156</v>
      </c>
      <c r="D144" s="9" t="s">
        <v>183</v>
      </c>
      <c r="E144" s="9">
        <v>6</v>
      </c>
      <c r="F14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4" s="27"/>
      <c r="H144" s="27"/>
      <c r="I144" s="27"/>
      <c r="J144" s="27"/>
      <c r="K144" s="27"/>
      <c r="L144" s="27"/>
    </row>
    <row r="145" spans="1:12" ht="18" hidden="1" x14ac:dyDescent="0.35">
      <c r="A145" s="9">
        <v>58603</v>
      </c>
      <c r="B145" s="9" t="s">
        <v>243</v>
      </c>
      <c r="C145" s="9" t="s">
        <v>227</v>
      </c>
      <c r="D145" s="9" t="s">
        <v>246</v>
      </c>
      <c r="E145" s="9">
        <v>6</v>
      </c>
      <c r="F14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5" s="27"/>
      <c r="H145" s="27"/>
      <c r="I145" s="27"/>
      <c r="J145" s="27"/>
      <c r="K145" s="27"/>
      <c r="L145" s="27"/>
    </row>
    <row r="146" spans="1:12" ht="18" hidden="1" x14ac:dyDescent="0.35">
      <c r="A146" s="9">
        <v>58604</v>
      </c>
      <c r="B146" s="9" t="s">
        <v>118</v>
      </c>
      <c r="C146" s="9" t="s">
        <v>100</v>
      </c>
      <c r="D146" s="9" t="s">
        <v>123</v>
      </c>
      <c r="E146" s="9">
        <v>6</v>
      </c>
      <c r="F14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6" s="27"/>
      <c r="H146" s="27"/>
      <c r="I146" s="27"/>
      <c r="J146" s="27"/>
      <c r="K146" s="27"/>
      <c r="L146" s="27"/>
    </row>
    <row r="147" spans="1:12" ht="18" hidden="1" x14ac:dyDescent="0.35">
      <c r="A147" s="9">
        <v>58788</v>
      </c>
      <c r="B147" s="9" t="s">
        <v>139</v>
      </c>
      <c r="C147" s="9" t="s">
        <v>136</v>
      </c>
      <c r="D147" s="9" t="s">
        <v>141</v>
      </c>
      <c r="E147" s="9">
        <v>6</v>
      </c>
      <c r="F14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7" s="27"/>
      <c r="H147" s="27"/>
      <c r="I147" s="27"/>
      <c r="J147" s="27"/>
      <c r="K147" s="27"/>
      <c r="L147" s="27"/>
    </row>
    <row r="148" spans="1:12" ht="18" hidden="1" x14ac:dyDescent="0.35">
      <c r="A148" s="9">
        <v>58826</v>
      </c>
      <c r="B148" s="9" t="s">
        <v>111</v>
      </c>
      <c r="C148" s="9" t="s">
        <v>100</v>
      </c>
      <c r="D148" s="9" t="s">
        <v>112</v>
      </c>
      <c r="E148" s="9">
        <v>12</v>
      </c>
      <c r="F14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8" s="27"/>
      <c r="H148" s="27"/>
      <c r="I148" s="27"/>
      <c r="J148" s="27"/>
      <c r="K148" s="27"/>
      <c r="L148" s="27"/>
    </row>
    <row r="149" spans="1:12" ht="18" hidden="1" x14ac:dyDescent="0.35">
      <c r="A149" s="9">
        <v>59237</v>
      </c>
      <c r="B149" s="9" t="s">
        <v>23</v>
      </c>
      <c r="C149" s="9" t="s">
        <v>24</v>
      </c>
      <c r="D149" s="9" t="s">
        <v>26</v>
      </c>
      <c r="E149" s="9">
        <v>24</v>
      </c>
      <c r="F14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9" s="27"/>
      <c r="H149" s="27"/>
      <c r="I149" s="27"/>
      <c r="J149" s="27"/>
      <c r="K149" s="27"/>
      <c r="L149" s="27"/>
    </row>
    <row r="150" spans="1:12" ht="18" hidden="1" x14ac:dyDescent="0.35">
      <c r="A150" s="9">
        <v>60039</v>
      </c>
      <c r="B150" s="9" t="s">
        <v>23</v>
      </c>
      <c r="C150" s="9" t="s">
        <v>24</v>
      </c>
      <c r="D150" s="9" t="s">
        <v>29</v>
      </c>
      <c r="E150" s="9">
        <v>24</v>
      </c>
      <c r="F15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0" s="27"/>
      <c r="H150" s="27"/>
      <c r="I150" s="27"/>
      <c r="J150" s="27"/>
      <c r="K150" s="27"/>
      <c r="L150" s="27"/>
    </row>
    <row r="151" spans="1:12" ht="18" hidden="1" x14ac:dyDescent="0.35">
      <c r="A151" s="9">
        <v>60404</v>
      </c>
      <c r="B151" s="9" t="s">
        <v>147</v>
      </c>
      <c r="C151" s="9" t="s">
        <v>136</v>
      </c>
      <c r="D151" s="9" t="s">
        <v>149</v>
      </c>
      <c r="E151" s="9">
        <v>6</v>
      </c>
      <c r="F15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1" s="27"/>
      <c r="H151" s="27"/>
      <c r="I151" s="27"/>
      <c r="J151" s="27"/>
      <c r="K151" s="27"/>
      <c r="L151" s="27"/>
    </row>
    <row r="152" spans="1:12" ht="18" hidden="1" x14ac:dyDescent="0.35">
      <c r="A152" s="9">
        <v>60612</v>
      </c>
      <c r="B152" s="9" t="s">
        <v>31</v>
      </c>
      <c r="C152" s="9" t="s">
        <v>24</v>
      </c>
      <c r="D152" s="9" t="s">
        <v>32</v>
      </c>
      <c r="E152" s="9">
        <v>24</v>
      </c>
      <c r="F15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2" s="27"/>
      <c r="H152" s="27"/>
      <c r="I152" s="27"/>
      <c r="J152" s="27"/>
      <c r="K152" s="27"/>
      <c r="L152" s="27"/>
    </row>
    <row r="153" spans="1:12" ht="18" hidden="1" x14ac:dyDescent="0.35">
      <c r="A153" s="9">
        <v>61492</v>
      </c>
      <c r="B153" s="9" t="s">
        <v>70</v>
      </c>
      <c r="C153" s="9" t="s">
        <v>54</v>
      </c>
      <c r="D153" s="9" t="s">
        <v>71</v>
      </c>
      <c r="E153" s="9">
        <v>12</v>
      </c>
      <c r="F15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3" s="27"/>
      <c r="H153" s="27"/>
      <c r="I153" s="27"/>
      <c r="J153" s="27"/>
      <c r="K153" s="27"/>
      <c r="L153" s="27"/>
    </row>
    <row r="154" spans="1:12" ht="18" hidden="1" x14ac:dyDescent="0.35">
      <c r="A154" s="9">
        <v>62755</v>
      </c>
      <c r="B154" s="9" t="s">
        <v>53</v>
      </c>
      <c r="C154" s="9" t="s">
        <v>54</v>
      </c>
      <c r="D154" s="9" t="s">
        <v>58</v>
      </c>
      <c r="E154" s="9">
        <v>6</v>
      </c>
      <c r="F15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4" s="27"/>
      <c r="H154" s="27"/>
      <c r="I154" s="27"/>
      <c r="J154" s="27"/>
      <c r="K154" s="27"/>
      <c r="L154" s="27"/>
    </row>
    <row r="155" spans="1:12" ht="18" hidden="1" x14ac:dyDescent="0.35">
      <c r="A155" s="9">
        <v>62944</v>
      </c>
      <c r="B155" s="9" t="s">
        <v>118</v>
      </c>
      <c r="C155" s="9" t="s">
        <v>100</v>
      </c>
      <c r="D155" s="9" t="s">
        <v>124</v>
      </c>
      <c r="E155" s="9">
        <v>6</v>
      </c>
      <c r="F15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5" s="27"/>
      <c r="H155" s="27"/>
      <c r="I155" s="27"/>
      <c r="J155" s="27"/>
      <c r="K155" s="27"/>
      <c r="L155" s="27"/>
    </row>
    <row r="156" spans="1:12" ht="18" hidden="1" x14ac:dyDescent="0.35">
      <c r="A156" s="9">
        <v>63102</v>
      </c>
      <c r="B156" s="9" t="s">
        <v>118</v>
      </c>
      <c r="C156" s="9" t="s">
        <v>100</v>
      </c>
      <c r="D156" s="9" t="s">
        <v>121</v>
      </c>
      <c r="E156" s="9">
        <v>6</v>
      </c>
      <c r="F15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6" s="27"/>
      <c r="H156" s="27"/>
      <c r="I156" s="27"/>
      <c r="J156" s="27"/>
      <c r="K156" s="27"/>
      <c r="L156" s="27"/>
    </row>
    <row r="157" spans="1:12" ht="18" hidden="1" x14ac:dyDescent="0.35">
      <c r="A157" s="9">
        <v>63299</v>
      </c>
      <c r="B157" s="9" t="s">
        <v>147</v>
      </c>
      <c r="C157" s="9" t="s">
        <v>136</v>
      </c>
      <c r="D157" s="9" t="s">
        <v>148</v>
      </c>
      <c r="E157" s="9">
        <v>6</v>
      </c>
      <c r="F15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7" s="27"/>
      <c r="H157" s="27"/>
      <c r="I157" s="27"/>
      <c r="J157" s="27"/>
      <c r="K157" s="27"/>
      <c r="L157" s="27"/>
    </row>
    <row r="158" spans="1:12" ht="18" hidden="1" x14ac:dyDescent="0.35">
      <c r="A158" s="9">
        <v>63301</v>
      </c>
      <c r="B158" s="9" t="s">
        <v>129</v>
      </c>
      <c r="C158" s="9" t="s">
        <v>100</v>
      </c>
      <c r="D158" s="9" t="s">
        <v>131</v>
      </c>
      <c r="E158" s="9">
        <v>6</v>
      </c>
      <c r="F15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8" s="27"/>
      <c r="H158" s="27"/>
      <c r="I158" s="27"/>
      <c r="J158" s="27"/>
      <c r="K158" s="27"/>
      <c r="L158" s="27"/>
    </row>
    <row r="159" spans="1:12" ht="18" hidden="1" x14ac:dyDescent="0.35">
      <c r="A159" s="9">
        <v>64212</v>
      </c>
      <c r="B159" s="9" t="s">
        <v>23</v>
      </c>
      <c r="C159" s="9" t="s">
        <v>24</v>
      </c>
      <c r="D159" s="9" t="s">
        <v>27</v>
      </c>
      <c r="E159" s="9">
        <v>24</v>
      </c>
      <c r="F15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9" s="27"/>
      <c r="H159" s="27"/>
      <c r="I159" s="27"/>
      <c r="J159" s="27"/>
      <c r="K159" s="27"/>
      <c r="L159" s="27"/>
    </row>
    <row r="160" spans="1:12" ht="18" hidden="1" x14ac:dyDescent="0.35">
      <c r="A160" s="9">
        <v>64469</v>
      </c>
      <c r="B160" s="9" t="s">
        <v>226</v>
      </c>
      <c r="C160" s="9" t="s">
        <v>227</v>
      </c>
      <c r="D160" s="9" t="s">
        <v>228</v>
      </c>
      <c r="E160" s="9">
        <v>6</v>
      </c>
      <c r="F16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0" s="27"/>
      <c r="H160" s="27"/>
      <c r="I160" s="27"/>
      <c r="J160" s="27"/>
      <c r="K160" s="27"/>
      <c r="L160" s="27"/>
    </row>
    <row r="161" spans="1:12" ht="18" hidden="1" x14ac:dyDescent="0.35">
      <c r="A161" s="9">
        <v>64873</v>
      </c>
      <c r="B161" s="9" t="s">
        <v>114</v>
      </c>
      <c r="C161" s="9" t="s">
        <v>100</v>
      </c>
      <c r="D161" s="9" t="s">
        <v>116</v>
      </c>
      <c r="E161" s="9">
        <v>6</v>
      </c>
      <c r="F16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1" s="27"/>
      <c r="H161" s="27"/>
      <c r="I161" s="27"/>
      <c r="J161" s="27"/>
      <c r="K161" s="27"/>
      <c r="L161" s="27"/>
    </row>
    <row r="162" spans="1:12" ht="18" hidden="1" x14ac:dyDescent="0.35">
      <c r="A162" s="9">
        <v>64906</v>
      </c>
      <c r="B162" s="9" t="s">
        <v>92</v>
      </c>
      <c r="C162" s="9" t="s">
        <v>54</v>
      </c>
      <c r="D162" s="9" t="s">
        <v>93</v>
      </c>
      <c r="E162" s="9">
        <v>6</v>
      </c>
      <c r="F16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2" s="27"/>
      <c r="H162" s="27"/>
      <c r="I162" s="27"/>
      <c r="J162" s="27"/>
      <c r="K162" s="27"/>
      <c r="L162" s="27"/>
    </row>
    <row r="163" spans="1:12" ht="18" hidden="1" x14ac:dyDescent="0.35">
      <c r="A163" s="9">
        <v>65135</v>
      </c>
      <c r="B163" s="9" t="s">
        <v>61</v>
      </c>
      <c r="C163" s="9" t="s">
        <v>54</v>
      </c>
      <c r="D163" s="9" t="s">
        <v>68</v>
      </c>
      <c r="E163" s="9">
        <v>6</v>
      </c>
      <c r="F16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3" s="27"/>
      <c r="H163" s="27"/>
      <c r="I163" s="27"/>
      <c r="J163" s="27"/>
      <c r="K163" s="27"/>
      <c r="L163" s="27"/>
    </row>
    <row r="164" spans="1:12" ht="18" hidden="1" x14ac:dyDescent="0.35">
      <c r="A164" s="9">
        <v>65226</v>
      </c>
      <c r="B164" s="9" t="s">
        <v>118</v>
      </c>
      <c r="C164" s="9" t="s">
        <v>100</v>
      </c>
      <c r="D164" s="9" t="s">
        <v>127</v>
      </c>
      <c r="E164" s="9">
        <v>6</v>
      </c>
      <c r="F16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4" s="27"/>
      <c r="H164" s="27"/>
      <c r="I164" s="27"/>
      <c r="J164" s="27"/>
      <c r="K164" s="27"/>
      <c r="L164" s="27"/>
    </row>
    <row r="165" spans="1:12" ht="18" hidden="1" x14ac:dyDescent="0.35">
      <c r="A165" s="9">
        <v>66213</v>
      </c>
      <c r="B165" s="9" t="s">
        <v>61</v>
      </c>
      <c r="C165" s="9" t="s">
        <v>54</v>
      </c>
      <c r="D165" s="9" t="s">
        <v>69</v>
      </c>
      <c r="E165" s="9">
        <v>6</v>
      </c>
      <c r="F16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5" s="27"/>
      <c r="H165" s="27"/>
      <c r="I165" s="27"/>
      <c r="J165" s="27"/>
      <c r="K165" s="27"/>
      <c r="L165" s="27"/>
    </row>
    <row r="166" spans="1:12" ht="18" hidden="1" x14ac:dyDescent="0.35">
      <c r="A166" s="9">
        <v>66549</v>
      </c>
      <c r="B166" s="9" t="s">
        <v>23</v>
      </c>
      <c r="C166" s="9" t="s">
        <v>24</v>
      </c>
      <c r="D166" s="9" t="s">
        <v>25</v>
      </c>
      <c r="E166" s="9">
        <v>24</v>
      </c>
      <c r="F16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6" s="27"/>
      <c r="H166" s="27"/>
      <c r="I166" s="27"/>
      <c r="J166" s="27"/>
      <c r="K166" s="27"/>
      <c r="L166" s="27"/>
    </row>
    <row r="167" spans="1:12" ht="18" hidden="1" x14ac:dyDescent="0.35">
      <c r="A167" s="9">
        <v>67145</v>
      </c>
      <c r="B167" s="9" t="s">
        <v>42</v>
      </c>
      <c r="C167" s="9" t="s">
        <v>24</v>
      </c>
      <c r="D167" s="9" t="s">
        <v>43</v>
      </c>
      <c r="E167" s="9">
        <v>24</v>
      </c>
      <c r="F16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7" s="27"/>
      <c r="H167" s="27"/>
      <c r="I167" s="27"/>
      <c r="J167" s="27"/>
      <c r="K167" s="27"/>
      <c r="L167" s="27"/>
    </row>
    <row r="168" spans="1:12" ht="18" hidden="1" x14ac:dyDescent="0.35">
      <c r="A168" s="9">
        <v>67291</v>
      </c>
      <c r="B168" s="9" t="s">
        <v>240</v>
      </c>
      <c r="C168" s="9" t="s">
        <v>227</v>
      </c>
      <c r="D168" s="9" t="s">
        <v>241</v>
      </c>
      <c r="E168" s="9">
        <v>6</v>
      </c>
      <c r="F16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8" s="27"/>
      <c r="H168" s="27"/>
      <c r="I168" s="27"/>
      <c r="J168" s="27"/>
      <c r="K168" s="27"/>
      <c r="L168" s="27"/>
    </row>
    <row r="169" spans="1:12" ht="18" hidden="1" x14ac:dyDescent="0.35">
      <c r="A169" s="9">
        <v>67317</v>
      </c>
      <c r="B169" s="9" t="s">
        <v>135</v>
      </c>
      <c r="C169" s="9" t="s">
        <v>136</v>
      </c>
      <c r="D169" s="9" t="s">
        <v>138</v>
      </c>
      <c r="E169" s="9">
        <v>6</v>
      </c>
      <c r="F16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9" s="27"/>
      <c r="H169" s="27"/>
      <c r="I169" s="27"/>
      <c r="J169" s="27"/>
      <c r="K169" s="27"/>
      <c r="L169" s="27"/>
    </row>
    <row r="170" spans="1:12" ht="18" hidden="1" x14ac:dyDescent="0.35">
      <c r="A170" s="9">
        <v>67349</v>
      </c>
      <c r="B170" s="9" t="s">
        <v>118</v>
      </c>
      <c r="C170" s="9" t="s">
        <v>100</v>
      </c>
      <c r="D170" s="9" t="s">
        <v>125</v>
      </c>
      <c r="E170" s="9">
        <v>6</v>
      </c>
      <c r="F17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0" s="27"/>
      <c r="H170" s="27"/>
      <c r="I170" s="27"/>
      <c r="J170" s="27"/>
      <c r="K170" s="27"/>
      <c r="L170" s="27"/>
    </row>
    <row r="171" spans="1:12" ht="18" hidden="1" x14ac:dyDescent="0.35">
      <c r="A171" s="9">
        <v>67826</v>
      </c>
      <c r="B171" s="9" t="s">
        <v>61</v>
      </c>
      <c r="C171" s="9" t="s">
        <v>54</v>
      </c>
      <c r="D171" s="9" t="s">
        <v>62</v>
      </c>
      <c r="E171" s="9">
        <v>24</v>
      </c>
      <c r="F17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1" s="27"/>
      <c r="H171" s="27"/>
      <c r="I171" s="27"/>
      <c r="J171" s="27"/>
      <c r="K171" s="27"/>
      <c r="L171" s="27"/>
    </row>
    <row r="172" spans="1:12" ht="18" hidden="1" x14ac:dyDescent="0.35">
      <c r="A172" s="9">
        <v>67827</v>
      </c>
      <c r="B172" s="9" t="s">
        <v>61</v>
      </c>
      <c r="C172" s="9" t="s">
        <v>54</v>
      </c>
      <c r="D172" s="9" t="s">
        <v>67</v>
      </c>
      <c r="E172" s="9">
        <v>24</v>
      </c>
      <c r="F17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2" s="27"/>
      <c r="H172" s="27"/>
      <c r="I172" s="27"/>
      <c r="J172" s="27"/>
      <c r="K172" s="27"/>
      <c r="L172" s="27"/>
    </row>
    <row r="173" spans="1:12" ht="18" hidden="1" x14ac:dyDescent="0.35">
      <c r="A173" s="9">
        <v>68571</v>
      </c>
      <c r="B173" s="9" t="s">
        <v>53</v>
      </c>
      <c r="C173" s="9" t="s">
        <v>54</v>
      </c>
      <c r="D173" s="9" t="s">
        <v>55</v>
      </c>
      <c r="E173" s="9">
        <v>12</v>
      </c>
      <c r="F17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3" s="27"/>
      <c r="H173" s="27"/>
      <c r="I173" s="27"/>
      <c r="J173" s="27"/>
      <c r="K173" s="27"/>
      <c r="L173" s="27"/>
    </row>
    <row r="174" spans="1:12" ht="18" hidden="1" x14ac:dyDescent="0.35">
      <c r="A174" s="9">
        <v>69117</v>
      </c>
      <c r="B174" s="9" t="s">
        <v>99</v>
      </c>
      <c r="C174" s="9" t="s">
        <v>100</v>
      </c>
      <c r="D174" s="9" t="s">
        <v>106</v>
      </c>
      <c r="E174" s="9">
        <v>6</v>
      </c>
      <c r="F17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4" s="27"/>
      <c r="H174" s="27"/>
      <c r="I174" s="27"/>
      <c r="J174" s="27"/>
      <c r="K174" s="27"/>
      <c r="L174" s="27"/>
    </row>
    <row r="175" spans="1:12" ht="18" hidden="1" x14ac:dyDescent="0.35">
      <c r="A175" s="9">
        <v>69451</v>
      </c>
      <c r="B175" s="9" t="s">
        <v>99</v>
      </c>
      <c r="C175" s="9" t="s">
        <v>100</v>
      </c>
      <c r="D175" s="9" t="s">
        <v>101</v>
      </c>
      <c r="E175" s="9">
        <v>6</v>
      </c>
      <c r="F17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5" s="27"/>
      <c r="H175" s="27"/>
      <c r="I175" s="27"/>
      <c r="J175" s="27"/>
      <c r="K175" s="27"/>
      <c r="L175" s="27"/>
    </row>
    <row r="176" spans="1:12" ht="18" hidden="1" x14ac:dyDescent="0.35">
      <c r="A176" s="9">
        <v>69467</v>
      </c>
      <c r="B176" s="9" t="s">
        <v>79</v>
      </c>
      <c r="C176" s="9" t="s">
        <v>54</v>
      </c>
      <c r="D176" s="9" t="s">
        <v>84</v>
      </c>
      <c r="E176" s="9">
        <v>24</v>
      </c>
      <c r="F17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6" s="27"/>
      <c r="H176" s="27"/>
      <c r="I176" s="27"/>
      <c r="J176" s="27"/>
      <c r="K176" s="27"/>
      <c r="L176" s="27"/>
    </row>
    <row r="177" spans="1:12" ht="18" x14ac:dyDescent="0.35">
      <c r="A177" s="9">
        <v>69492</v>
      </c>
      <c r="B177" s="9" t="s">
        <v>72</v>
      </c>
      <c r="C177" s="9" t="s">
        <v>54</v>
      </c>
      <c r="D177" s="9" t="s">
        <v>73</v>
      </c>
      <c r="E177" s="9">
        <v>1</v>
      </c>
      <c r="F17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7" s="27"/>
      <c r="H177" s="27"/>
      <c r="I177" s="27"/>
      <c r="J177" s="27"/>
      <c r="K177" s="27"/>
      <c r="L177" s="27"/>
    </row>
    <row r="178" spans="1:12" ht="18" hidden="1" x14ac:dyDescent="0.35">
      <c r="A178" s="9">
        <v>69493</v>
      </c>
      <c r="B178" s="9" t="s">
        <v>79</v>
      </c>
      <c r="C178" s="9" t="s">
        <v>54</v>
      </c>
      <c r="D178" s="9" t="s">
        <v>83</v>
      </c>
      <c r="E178" s="9">
        <v>24</v>
      </c>
      <c r="F17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8" s="27"/>
      <c r="H178" s="27"/>
      <c r="I178" s="27"/>
      <c r="J178" s="27"/>
      <c r="K178" s="27"/>
      <c r="L178" s="27"/>
    </row>
    <row r="179" spans="1:12" ht="18" x14ac:dyDescent="0.35">
      <c r="A179" s="9">
        <v>69496</v>
      </c>
      <c r="B179" s="9" t="s">
        <v>72</v>
      </c>
      <c r="C179" s="9" t="s">
        <v>54</v>
      </c>
      <c r="D179" s="9" t="s">
        <v>74</v>
      </c>
      <c r="E179" s="9">
        <v>1</v>
      </c>
      <c r="F17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9" s="27"/>
      <c r="H179" s="27"/>
      <c r="I179" s="27"/>
      <c r="J179" s="27"/>
      <c r="K179" s="27"/>
      <c r="L179" s="27"/>
    </row>
    <row r="180" spans="1:12" ht="18" hidden="1" x14ac:dyDescent="0.35">
      <c r="A180" s="9">
        <v>69500</v>
      </c>
      <c r="B180" s="9" t="s">
        <v>79</v>
      </c>
      <c r="C180" s="9" t="s">
        <v>54</v>
      </c>
      <c r="D180" s="9" t="s">
        <v>88</v>
      </c>
      <c r="E180" s="9">
        <v>24</v>
      </c>
      <c r="F18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0" s="27"/>
      <c r="H180" s="27"/>
      <c r="I180" s="27"/>
      <c r="J180" s="27"/>
      <c r="K180" s="27"/>
      <c r="L180" s="27"/>
    </row>
    <row r="181" spans="1:12" ht="18" x14ac:dyDescent="0.35">
      <c r="A181" s="9">
        <v>69510</v>
      </c>
      <c r="B181" s="9" t="s">
        <v>72</v>
      </c>
      <c r="C181" s="9" t="s">
        <v>54</v>
      </c>
      <c r="D181" s="9" t="s">
        <v>75</v>
      </c>
      <c r="E181" s="9">
        <v>1</v>
      </c>
      <c r="F18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1" s="27"/>
      <c r="H181" s="27"/>
      <c r="I181" s="27"/>
      <c r="J181" s="27"/>
      <c r="K181" s="27"/>
      <c r="L181" s="27"/>
    </row>
    <row r="182" spans="1:12" ht="18" hidden="1" x14ac:dyDescent="0.35">
      <c r="A182" s="9">
        <v>69502</v>
      </c>
      <c r="B182" s="9" t="s">
        <v>79</v>
      </c>
      <c r="C182" s="9" t="s">
        <v>54</v>
      </c>
      <c r="D182" s="9" t="s">
        <v>89</v>
      </c>
      <c r="E182" s="9">
        <v>24</v>
      </c>
      <c r="F18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2" s="27"/>
      <c r="H182" s="27"/>
      <c r="I182" s="27"/>
      <c r="J182" s="27"/>
      <c r="K182" s="27"/>
      <c r="L182" s="27"/>
    </row>
    <row r="183" spans="1:12" ht="18" x14ac:dyDescent="0.35">
      <c r="A183" s="9">
        <v>69501</v>
      </c>
      <c r="B183" s="9" t="s">
        <v>72</v>
      </c>
      <c r="C183" s="9" t="s">
        <v>54</v>
      </c>
      <c r="D183" s="9" t="s">
        <v>76</v>
      </c>
      <c r="E183" s="9">
        <v>1</v>
      </c>
      <c r="F18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3" s="27"/>
      <c r="H183" s="27"/>
      <c r="I183" s="27"/>
      <c r="J183" s="27"/>
      <c r="K183" s="27"/>
      <c r="L183" s="27"/>
    </row>
    <row r="184" spans="1:12" ht="18" hidden="1" x14ac:dyDescent="0.35">
      <c r="A184" s="9">
        <v>69505</v>
      </c>
      <c r="B184" s="9" t="s">
        <v>79</v>
      </c>
      <c r="C184" s="9" t="s">
        <v>54</v>
      </c>
      <c r="D184" s="9" t="s">
        <v>87</v>
      </c>
      <c r="E184" s="9">
        <v>24</v>
      </c>
      <c r="F18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4" s="27"/>
      <c r="H184" s="27"/>
      <c r="I184" s="27"/>
      <c r="J184" s="27"/>
      <c r="K184" s="27"/>
      <c r="L184" s="27"/>
    </row>
    <row r="185" spans="1:12" ht="18" x14ac:dyDescent="0.35">
      <c r="A185" s="9">
        <v>69504</v>
      </c>
      <c r="B185" s="9" t="s">
        <v>72</v>
      </c>
      <c r="C185" s="9" t="s">
        <v>54</v>
      </c>
      <c r="D185" s="9" t="s">
        <v>77</v>
      </c>
      <c r="E185" s="9">
        <v>1</v>
      </c>
      <c r="F18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5" s="27"/>
      <c r="H185" s="27"/>
      <c r="I185" s="27"/>
      <c r="J185" s="27"/>
      <c r="K185" s="27"/>
      <c r="L185" s="27"/>
    </row>
    <row r="186" spans="1:12" ht="18" hidden="1" x14ac:dyDescent="0.35">
      <c r="A186" s="9">
        <v>69509</v>
      </c>
      <c r="B186" s="9" t="s">
        <v>79</v>
      </c>
      <c r="C186" s="9" t="s">
        <v>54</v>
      </c>
      <c r="D186" s="9" t="s">
        <v>90</v>
      </c>
      <c r="E186" s="9">
        <v>24</v>
      </c>
      <c r="F18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6" s="27"/>
      <c r="H186" s="27"/>
      <c r="I186" s="27"/>
      <c r="J186" s="27"/>
      <c r="K186" s="27"/>
      <c r="L186" s="27"/>
    </row>
    <row r="187" spans="1:12" ht="18" x14ac:dyDescent="0.35">
      <c r="A187" s="9">
        <v>69506</v>
      </c>
      <c r="B187" s="9" t="s">
        <v>72</v>
      </c>
      <c r="C187" s="9" t="s">
        <v>54</v>
      </c>
      <c r="D187" s="9" t="s">
        <v>78</v>
      </c>
      <c r="E187" s="9">
        <v>1</v>
      </c>
      <c r="F18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7" s="27"/>
      <c r="H187" s="27"/>
      <c r="I187" s="27"/>
      <c r="J187" s="27"/>
      <c r="K187" s="27"/>
      <c r="L187" s="27"/>
    </row>
    <row r="188" spans="1:12" ht="18" hidden="1" x14ac:dyDescent="0.35">
      <c r="A188" s="9">
        <v>69689</v>
      </c>
      <c r="B188" s="9" t="s">
        <v>23</v>
      </c>
      <c r="C188" s="9" t="s">
        <v>24</v>
      </c>
      <c r="D188" s="9" t="s">
        <v>30</v>
      </c>
      <c r="E188" s="9">
        <v>24</v>
      </c>
      <c r="F18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8" s="27"/>
      <c r="H188" s="27"/>
      <c r="I188" s="27"/>
      <c r="J188" s="27"/>
      <c r="K188" s="27"/>
      <c r="L188" s="27"/>
    </row>
    <row r="189" spans="1:12" ht="18" hidden="1" x14ac:dyDescent="0.35">
      <c r="A189" s="9">
        <v>69822</v>
      </c>
      <c r="B189" s="9" t="s">
        <v>79</v>
      </c>
      <c r="C189" s="9" t="s">
        <v>54</v>
      </c>
      <c r="D189" s="9" t="s">
        <v>91</v>
      </c>
      <c r="E189" s="9">
        <v>24</v>
      </c>
      <c r="F18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9" s="27"/>
      <c r="H189" s="27"/>
      <c r="I189" s="27"/>
      <c r="J189" s="27"/>
      <c r="K189" s="27"/>
      <c r="L189" s="27"/>
    </row>
    <row r="190" spans="1:12" ht="18" hidden="1" x14ac:dyDescent="0.35">
      <c r="A190" s="9">
        <v>70373</v>
      </c>
      <c r="B190" s="9" t="s">
        <v>53</v>
      </c>
      <c r="C190" s="9" t="s">
        <v>54</v>
      </c>
      <c r="D190" s="9" t="s">
        <v>56</v>
      </c>
      <c r="E190" s="9">
        <v>6</v>
      </c>
      <c r="F19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0" s="27"/>
      <c r="H190" s="27"/>
      <c r="I190" s="27"/>
      <c r="J190" s="27"/>
      <c r="K190" s="27"/>
      <c r="L190" s="27"/>
    </row>
    <row r="191" spans="1:12" ht="18" hidden="1" x14ac:dyDescent="0.35">
      <c r="A191" s="9">
        <v>70383</v>
      </c>
      <c r="B191" s="9" t="s">
        <v>53</v>
      </c>
      <c r="C191" s="9" t="s">
        <v>54</v>
      </c>
      <c r="D191" s="9" t="s">
        <v>57</v>
      </c>
      <c r="E191" s="9">
        <v>6</v>
      </c>
      <c r="F19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1" s="27"/>
      <c r="H191" s="27"/>
      <c r="I191" s="27"/>
      <c r="J191" s="27"/>
      <c r="K191" s="27"/>
      <c r="L191" s="27"/>
    </row>
    <row r="192" spans="1:12" ht="18" hidden="1" x14ac:dyDescent="0.35">
      <c r="A192" s="9">
        <v>116290</v>
      </c>
      <c r="B192" s="9" t="s">
        <v>215</v>
      </c>
      <c r="C192" s="9" t="s">
        <v>156</v>
      </c>
      <c r="D192" s="9" t="s">
        <v>219</v>
      </c>
      <c r="E192" s="9">
        <v>6</v>
      </c>
      <c r="F19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2" s="27"/>
      <c r="H192" s="27"/>
      <c r="I192" s="27"/>
      <c r="J192" s="27"/>
      <c r="K192" s="27"/>
      <c r="L192" s="27"/>
    </row>
    <row r="193" spans="1:12" ht="18" hidden="1" x14ac:dyDescent="0.35">
      <c r="A193" s="9">
        <v>116393</v>
      </c>
      <c r="B193" s="9" t="s">
        <v>33</v>
      </c>
      <c r="C193" s="9" t="s">
        <v>24</v>
      </c>
      <c r="D193" s="9" t="s">
        <v>36</v>
      </c>
      <c r="E193" s="9">
        <v>24</v>
      </c>
      <c r="F19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9C95-0448-42E5-8B73-FE826278F60F}">
  <sheetPr codeName="Sheet18"/>
  <dimension ref="A1:L193"/>
  <sheetViews>
    <sheetView workbookViewId="0">
      <selection activeCell="G177" sqref="G177"/>
    </sheetView>
  </sheetViews>
  <sheetFormatPr defaultRowHeight="14.4" x14ac:dyDescent="0.3"/>
  <cols>
    <col min="1" max="1" width="10.5546875" bestFit="1" customWidth="1"/>
    <col min="2" max="2" width="17.44140625" bestFit="1" customWidth="1"/>
    <col min="3" max="3" width="23.6640625" bestFit="1" customWidth="1"/>
    <col min="4" max="4" width="65.109375" bestFit="1" customWidth="1"/>
    <col min="5" max="5" width="13.5546875" bestFit="1" customWidth="1"/>
    <col min="6" max="6" width="7.6640625" bestFit="1" customWidth="1"/>
    <col min="7" max="7" width="10.33203125" bestFit="1" customWidth="1"/>
    <col min="8" max="9" width="11.44140625" bestFit="1" customWidth="1"/>
    <col min="10" max="10" width="8.6640625" bestFit="1" customWidth="1"/>
    <col min="11" max="12" width="9.664062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" hidden="1" x14ac:dyDescent="0.35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" s="27"/>
      <c r="H2" s="27"/>
      <c r="I2" s="27"/>
      <c r="J2" s="27"/>
      <c r="K2" s="27"/>
      <c r="L2" s="27"/>
    </row>
    <row r="3" spans="1:12" ht="18" hidden="1" x14ac:dyDescent="0.35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" s="27"/>
      <c r="H3" s="27"/>
      <c r="I3" s="27"/>
      <c r="J3" s="27"/>
      <c r="K3" s="27"/>
      <c r="L3" s="27"/>
    </row>
    <row r="4" spans="1:12" ht="18" hidden="1" x14ac:dyDescent="0.35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" s="27"/>
      <c r="H4" s="27"/>
      <c r="I4" s="27"/>
      <c r="J4" s="27"/>
      <c r="K4" s="27"/>
      <c r="L4" s="27"/>
    </row>
    <row r="5" spans="1:12" ht="18" hidden="1" x14ac:dyDescent="0.35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" s="27"/>
      <c r="H5" s="27"/>
      <c r="I5" s="27"/>
      <c r="J5" s="27"/>
      <c r="K5" s="27"/>
      <c r="L5" s="27"/>
    </row>
    <row r="6" spans="1:12" ht="18" hidden="1" x14ac:dyDescent="0.35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" s="27"/>
      <c r="H6" s="27"/>
      <c r="I6" s="27"/>
      <c r="J6" s="27"/>
      <c r="K6" s="27"/>
      <c r="L6" s="27"/>
    </row>
    <row r="7" spans="1:12" ht="18" hidden="1" x14ac:dyDescent="0.35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" s="27"/>
      <c r="H7" s="27"/>
      <c r="I7" s="27"/>
      <c r="J7" s="27"/>
      <c r="K7" s="27"/>
      <c r="L7" s="27"/>
    </row>
    <row r="8" spans="1:12" ht="18" hidden="1" x14ac:dyDescent="0.35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" s="27"/>
      <c r="H8" s="27"/>
      <c r="I8" s="27"/>
      <c r="J8" s="27"/>
      <c r="K8" s="27"/>
      <c r="L8" s="27"/>
    </row>
    <row r="9" spans="1:12" ht="18" hidden="1" x14ac:dyDescent="0.35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" s="27"/>
      <c r="H9" s="27"/>
      <c r="I9" s="27"/>
      <c r="J9" s="27"/>
      <c r="K9" s="27"/>
      <c r="L9" s="27"/>
    </row>
    <row r="10" spans="1:12" ht="18" hidden="1" x14ac:dyDescent="0.35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" s="27"/>
      <c r="H10" s="27"/>
      <c r="I10" s="27"/>
      <c r="J10" s="27"/>
      <c r="K10" s="27"/>
      <c r="L10" s="27"/>
    </row>
    <row r="11" spans="1:12" ht="18" hidden="1" x14ac:dyDescent="0.35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" s="27"/>
      <c r="H11" s="27"/>
      <c r="I11" s="27"/>
      <c r="J11" s="27"/>
      <c r="K11" s="27"/>
      <c r="L11" s="27"/>
    </row>
    <row r="12" spans="1:12" ht="18" hidden="1" x14ac:dyDescent="0.35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" s="27"/>
      <c r="H12" s="27"/>
      <c r="I12" s="27"/>
      <c r="J12" s="27"/>
      <c r="K12" s="27"/>
      <c r="L12" s="27"/>
    </row>
    <row r="13" spans="1:12" ht="18" hidden="1" x14ac:dyDescent="0.35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" s="27"/>
      <c r="H13" s="27"/>
      <c r="I13" s="27"/>
      <c r="J13" s="27"/>
      <c r="K13" s="27"/>
      <c r="L13" s="27"/>
    </row>
    <row r="14" spans="1:12" ht="18" hidden="1" x14ac:dyDescent="0.35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" s="27"/>
      <c r="H14" s="27"/>
      <c r="I14" s="27"/>
      <c r="J14" s="27"/>
      <c r="K14" s="27"/>
      <c r="L14" s="27"/>
    </row>
    <row r="15" spans="1:12" ht="18" hidden="1" x14ac:dyDescent="0.35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" s="27"/>
      <c r="H15" s="27"/>
      <c r="I15" s="27"/>
      <c r="J15" s="27"/>
      <c r="K15" s="27"/>
      <c r="L15" s="27"/>
    </row>
    <row r="16" spans="1:12" ht="18" hidden="1" x14ac:dyDescent="0.35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" s="27"/>
      <c r="H16" s="27"/>
      <c r="I16" s="27"/>
      <c r="J16" s="27"/>
      <c r="K16" s="27"/>
      <c r="L16" s="27"/>
    </row>
    <row r="17" spans="1:12" ht="18" hidden="1" x14ac:dyDescent="0.35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" s="27"/>
      <c r="H17" s="27"/>
      <c r="I17" s="27"/>
      <c r="J17" s="27"/>
      <c r="K17" s="27"/>
      <c r="L17" s="27"/>
    </row>
    <row r="18" spans="1:12" ht="18" hidden="1" x14ac:dyDescent="0.35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" s="27"/>
      <c r="H18" s="27"/>
      <c r="I18" s="27"/>
      <c r="J18" s="27"/>
      <c r="K18" s="27"/>
      <c r="L18" s="27"/>
    </row>
    <row r="19" spans="1:12" ht="18" hidden="1" x14ac:dyDescent="0.35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" s="27"/>
      <c r="H19" s="27"/>
      <c r="I19" s="27"/>
      <c r="J19" s="27"/>
      <c r="K19" s="27"/>
      <c r="L19" s="27"/>
    </row>
    <row r="20" spans="1:12" ht="18" hidden="1" x14ac:dyDescent="0.35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0" s="27"/>
      <c r="H20" s="27"/>
      <c r="I20" s="27"/>
      <c r="J20" s="27"/>
      <c r="K20" s="27"/>
      <c r="L20" s="27"/>
    </row>
    <row r="21" spans="1:12" ht="18" hidden="1" x14ac:dyDescent="0.35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1" s="27"/>
      <c r="H21" s="27"/>
      <c r="I21" s="27"/>
      <c r="J21" s="27"/>
      <c r="K21" s="27"/>
      <c r="L21" s="27"/>
    </row>
    <row r="22" spans="1:12" ht="18" hidden="1" x14ac:dyDescent="0.35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2" s="27"/>
      <c r="H22" s="27"/>
      <c r="I22" s="27"/>
      <c r="J22" s="27"/>
      <c r="K22" s="27"/>
      <c r="L22" s="27"/>
    </row>
    <row r="23" spans="1:12" ht="18" hidden="1" x14ac:dyDescent="0.35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3" s="27"/>
      <c r="H23" s="27"/>
      <c r="I23" s="27"/>
      <c r="J23" s="27"/>
      <c r="K23" s="27"/>
      <c r="L23" s="27"/>
    </row>
    <row r="24" spans="1:12" ht="18" hidden="1" x14ac:dyDescent="0.35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4" s="27"/>
      <c r="H24" s="27"/>
      <c r="I24" s="27"/>
      <c r="J24" s="27"/>
      <c r="K24" s="27"/>
      <c r="L24" s="27"/>
    </row>
    <row r="25" spans="1:12" ht="18" hidden="1" x14ac:dyDescent="0.35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5" s="27"/>
      <c r="H25" s="27"/>
      <c r="I25" s="27"/>
      <c r="J25" s="27"/>
      <c r="K25" s="27"/>
      <c r="L25" s="27"/>
    </row>
    <row r="26" spans="1:12" ht="18" hidden="1" x14ac:dyDescent="0.35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6" s="27"/>
      <c r="H26" s="27"/>
      <c r="I26" s="27"/>
      <c r="J26" s="27"/>
      <c r="K26" s="27"/>
      <c r="L26" s="27"/>
    </row>
    <row r="27" spans="1:12" ht="18" hidden="1" x14ac:dyDescent="0.35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7" s="27"/>
      <c r="H27" s="27"/>
      <c r="I27" s="27"/>
      <c r="J27" s="27"/>
      <c r="K27" s="27"/>
      <c r="L27" s="27"/>
    </row>
    <row r="28" spans="1:12" ht="18" hidden="1" x14ac:dyDescent="0.35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8" s="27"/>
      <c r="H28" s="27"/>
      <c r="I28" s="27"/>
      <c r="J28" s="27"/>
      <c r="K28" s="27"/>
      <c r="L28" s="27"/>
    </row>
    <row r="29" spans="1:12" ht="18" hidden="1" x14ac:dyDescent="0.35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9" s="27"/>
      <c r="H29" s="27"/>
      <c r="I29" s="27"/>
      <c r="J29" s="27"/>
      <c r="K29" s="27"/>
      <c r="L29" s="27"/>
    </row>
    <row r="30" spans="1:12" ht="18" hidden="1" x14ac:dyDescent="0.35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0" s="27"/>
      <c r="H30" s="27"/>
      <c r="I30" s="27"/>
      <c r="J30" s="27"/>
      <c r="K30" s="27"/>
      <c r="L30" s="27"/>
    </row>
    <row r="31" spans="1:12" ht="18" hidden="1" x14ac:dyDescent="0.35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1" s="27"/>
      <c r="H31" s="27"/>
      <c r="I31" s="27"/>
      <c r="J31" s="27"/>
      <c r="K31" s="27"/>
      <c r="L31" s="27"/>
    </row>
    <row r="32" spans="1:12" ht="18" hidden="1" x14ac:dyDescent="0.35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2" s="27"/>
      <c r="H32" s="27"/>
      <c r="I32" s="27"/>
      <c r="J32" s="27"/>
      <c r="K32" s="27"/>
      <c r="L32" s="27"/>
    </row>
    <row r="33" spans="1:12" ht="18" hidden="1" x14ac:dyDescent="0.35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3" s="27"/>
      <c r="H33" s="27"/>
      <c r="I33" s="27"/>
      <c r="J33" s="27"/>
      <c r="K33" s="27"/>
      <c r="L33" s="27"/>
    </row>
    <row r="34" spans="1:12" ht="18" hidden="1" x14ac:dyDescent="0.35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4" s="27"/>
      <c r="H34" s="27"/>
      <c r="I34" s="27"/>
      <c r="J34" s="27"/>
      <c r="K34" s="27"/>
      <c r="L34" s="27"/>
    </row>
    <row r="35" spans="1:12" ht="18" hidden="1" x14ac:dyDescent="0.35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5" s="27"/>
      <c r="H35" s="27"/>
      <c r="I35" s="27"/>
      <c r="J35" s="27"/>
      <c r="K35" s="27"/>
      <c r="L35" s="27"/>
    </row>
    <row r="36" spans="1:12" ht="18" hidden="1" x14ac:dyDescent="0.35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6" s="27"/>
      <c r="H36" s="27"/>
      <c r="I36" s="27"/>
      <c r="J36" s="27"/>
      <c r="K36" s="27"/>
      <c r="L36" s="27"/>
    </row>
    <row r="37" spans="1:12" ht="18" hidden="1" x14ac:dyDescent="0.35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7" s="27"/>
      <c r="H37" s="27"/>
      <c r="I37" s="27"/>
      <c r="J37" s="27"/>
      <c r="K37" s="27"/>
      <c r="L37" s="27"/>
    </row>
    <row r="38" spans="1:12" ht="18" hidden="1" x14ac:dyDescent="0.35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8" s="27"/>
      <c r="H38" s="27"/>
      <c r="I38" s="27"/>
      <c r="J38" s="27"/>
      <c r="K38" s="27"/>
      <c r="L38" s="27"/>
    </row>
    <row r="39" spans="1:12" ht="18" x14ac:dyDescent="0.35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9" s="27"/>
      <c r="H39" s="27"/>
      <c r="I39" s="27"/>
      <c r="J39" s="27"/>
      <c r="K39" s="27"/>
      <c r="L39" s="27"/>
    </row>
    <row r="40" spans="1:12" ht="18" x14ac:dyDescent="0.35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0" s="27"/>
      <c r="H40" s="27"/>
      <c r="I40" s="27"/>
      <c r="J40" s="27"/>
      <c r="K40" s="27"/>
      <c r="L40" s="27"/>
    </row>
    <row r="41" spans="1:12" ht="18" x14ac:dyDescent="0.35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1" s="27"/>
      <c r="H41" s="27"/>
      <c r="I41" s="27"/>
      <c r="J41" s="27"/>
      <c r="K41" s="27"/>
      <c r="L41" s="27"/>
    </row>
    <row r="42" spans="1:12" ht="18" x14ac:dyDescent="0.35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2" s="27"/>
      <c r="H42" s="27"/>
      <c r="I42" s="27"/>
      <c r="J42" s="27"/>
      <c r="K42" s="27"/>
      <c r="L42" s="27"/>
    </row>
    <row r="43" spans="1:12" ht="18" x14ac:dyDescent="0.35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3" s="27"/>
      <c r="H43" s="27"/>
      <c r="I43" s="27"/>
      <c r="J43" s="27"/>
      <c r="K43" s="27"/>
      <c r="L43" s="27"/>
    </row>
    <row r="44" spans="1:12" ht="18" x14ac:dyDescent="0.35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4" s="27"/>
      <c r="H44" s="27"/>
      <c r="I44" s="27"/>
      <c r="J44" s="27"/>
      <c r="K44" s="27"/>
      <c r="L44" s="27"/>
    </row>
    <row r="45" spans="1:12" ht="18" hidden="1" x14ac:dyDescent="0.35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5" s="27"/>
      <c r="H45" s="27"/>
      <c r="I45" s="27"/>
      <c r="J45" s="27"/>
      <c r="K45" s="27"/>
      <c r="L45" s="27"/>
    </row>
    <row r="46" spans="1:12" ht="18" hidden="1" x14ac:dyDescent="0.35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6" s="27"/>
      <c r="H46" s="27"/>
      <c r="I46" s="27"/>
      <c r="J46" s="27"/>
      <c r="K46" s="27"/>
      <c r="L46" s="27"/>
    </row>
    <row r="47" spans="1:12" ht="18" hidden="1" x14ac:dyDescent="0.35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7" s="27"/>
      <c r="H47" s="27"/>
      <c r="I47" s="27"/>
      <c r="J47" s="27"/>
      <c r="K47" s="27"/>
      <c r="L47" s="27"/>
    </row>
    <row r="48" spans="1:12" ht="18" hidden="1" x14ac:dyDescent="0.35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8" s="27"/>
      <c r="H48" s="27"/>
      <c r="I48" s="27"/>
      <c r="J48" s="27"/>
      <c r="K48" s="27"/>
      <c r="L48" s="27"/>
    </row>
    <row r="49" spans="1:12" ht="18" hidden="1" x14ac:dyDescent="0.35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9" s="27"/>
      <c r="H49" s="27"/>
      <c r="I49" s="27"/>
      <c r="J49" s="27"/>
      <c r="K49" s="27"/>
      <c r="L49" s="27"/>
    </row>
    <row r="50" spans="1:12" ht="18" hidden="1" x14ac:dyDescent="0.35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0" s="27"/>
      <c r="H50" s="27"/>
      <c r="I50" s="27"/>
      <c r="J50" s="27"/>
      <c r="K50" s="27"/>
      <c r="L50" s="27"/>
    </row>
    <row r="51" spans="1:12" ht="18" hidden="1" x14ac:dyDescent="0.35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1" s="27"/>
      <c r="H51" s="27"/>
      <c r="I51" s="27"/>
      <c r="J51" s="27"/>
      <c r="K51" s="27"/>
      <c r="L51" s="27"/>
    </row>
    <row r="52" spans="1:12" ht="18" hidden="1" x14ac:dyDescent="0.35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2" s="27"/>
      <c r="H52" s="27"/>
      <c r="I52" s="27"/>
      <c r="J52" s="27"/>
      <c r="K52" s="27"/>
      <c r="L52" s="27"/>
    </row>
    <row r="53" spans="1:12" ht="18" hidden="1" x14ac:dyDescent="0.35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3" s="27"/>
      <c r="H53" s="27"/>
      <c r="I53" s="27"/>
      <c r="J53" s="27"/>
      <c r="K53" s="27"/>
      <c r="L53" s="27"/>
    </row>
    <row r="54" spans="1:12" ht="18" hidden="1" x14ac:dyDescent="0.35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4" s="27"/>
      <c r="H54" s="27"/>
      <c r="I54" s="27"/>
      <c r="J54" s="27"/>
      <c r="K54" s="27"/>
      <c r="L54" s="27"/>
    </row>
    <row r="55" spans="1:12" ht="18" hidden="1" x14ac:dyDescent="0.35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5" s="27"/>
      <c r="H55" s="27"/>
      <c r="I55" s="27"/>
      <c r="J55" s="27"/>
      <c r="K55" s="27"/>
      <c r="L55" s="27"/>
    </row>
    <row r="56" spans="1:12" ht="18" hidden="1" x14ac:dyDescent="0.35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6" s="27"/>
      <c r="H56" s="27"/>
      <c r="I56" s="27"/>
      <c r="J56" s="27"/>
      <c r="K56" s="27"/>
      <c r="L56" s="27"/>
    </row>
    <row r="57" spans="1:12" ht="18" hidden="1" x14ac:dyDescent="0.35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7" s="27"/>
      <c r="H57" s="27"/>
      <c r="I57" s="27"/>
      <c r="J57" s="27"/>
      <c r="K57" s="27"/>
      <c r="L57" s="27"/>
    </row>
    <row r="58" spans="1:12" ht="18" hidden="1" x14ac:dyDescent="0.35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8" s="27"/>
      <c r="H58" s="27"/>
      <c r="I58" s="27"/>
      <c r="J58" s="27"/>
      <c r="K58" s="27"/>
      <c r="L58" s="27"/>
    </row>
    <row r="59" spans="1:12" ht="18" hidden="1" x14ac:dyDescent="0.35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9" s="27"/>
      <c r="H59" s="27"/>
      <c r="I59" s="27"/>
      <c r="J59" s="27"/>
      <c r="K59" s="27"/>
      <c r="L59" s="27"/>
    </row>
    <row r="60" spans="1:12" ht="18" hidden="1" x14ac:dyDescent="0.35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0" s="27"/>
      <c r="H60" s="27"/>
      <c r="I60" s="27"/>
      <c r="J60" s="27"/>
      <c r="K60" s="27"/>
      <c r="L60" s="27"/>
    </row>
    <row r="61" spans="1:12" ht="18" hidden="1" x14ac:dyDescent="0.35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1" s="27"/>
      <c r="H61" s="27"/>
      <c r="I61" s="27"/>
      <c r="J61" s="27"/>
      <c r="K61" s="27"/>
      <c r="L61" s="27"/>
    </row>
    <row r="62" spans="1:12" ht="18" hidden="1" x14ac:dyDescent="0.35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2" s="27"/>
      <c r="H62" s="27"/>
      <c r="I62" s="27"/>
      <c r="J62" s="27"/>
      <c r="K62" s="27"/>
      <c r="L62" s="27"/>
    </row>
    <row r="63" spans="1:12" ht="18" hidden="1" x14ac:dyDescent="0.35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3" s="27"/>
      <c r="H63" s="27"/>
      <c r="I63" s="27"/>
      <c r="J63" s="27"/>
      <c r="K63" s="27"/>
      <c r="L63" s="27"/>
    </row>
    <row r="64" spans="1:12" ht="18" hidden="1" x14ac:dyDescent="0.35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4" s="27"/>
      <c r="H64" s="27"/>
      <c r="I64" s="27"/>
      <c r="J64" s="27"/>
      <c r="K64" s="27"/>
      <c r="L64" s="27"/>
    </row>
    <row r="65" spans="1:12" ht="18" hidden="1" x14ac:dyDescent="0.35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5" s="27"/>
      <c r="H65" s="27"/>
      <c r="I65" s="27"/>
      <c r="J65" s="27"/>
      <c r="K65" s="27"/>
      <c r="L65" s="27"/>
    </row>
    <row r="66" spans="1:12" ht="18" hidden="1" x14ac:dyDescent="0.35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6" s="27"/>
      <c r="H66" s="27"/>
      <c r="I66" s="27"/>
      <c r="J66" s="27"/>
      <c r="K66" s="27"/>
      <c r="L66" s="27"/>
    </row>
    <row r="67" spans="1:12" ht="18" hidden="1" x14ac:dyDescent="0.35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7" s="27"/>
      <c r="H67" s="27"/>
      <c r="I67" s="27"/>
      <c r="J67" s="27"/>
      <c r="K67" s="27"/>
      <c r="L67" s="27"/>
    </row>
    <row r="68" spans="1:12" ht="18" hidden="1" x14ac:dyDescent="0.35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8" s="27"/>
      <c r="H68" s="27"/>
      <c r="I68" s="27"/>
      <c r="J68" s="27"/>
      <c r="K68" s="27"/>
      <c r="L68" s="27"/>
    </row>
    <row r="69" spans="1:12" ht="18" hidden="1" x14ac:dyDescent="0.35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9" s="27"/>
      <c r="H69" s="27"/>
      <c r="I69" s="27"/>
      <c r="J69" s="27"/>
      <c r="K69" s="27"/>
      <c r="L69" s="27"/>
    </row>
    <row r="70" spans="1:12" ht="18" hidden="1" x14ac:dyDescent="0.35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0" s="27"/>
      <c r="H70" s="27"/>
      <c r="I70" s="27"/>
      <c r="J70" s="27"/>
      <c r="K70" s="27"/>
      <c r="L70" s="27"/>
    </row>
    <row r="71" spans="1:12" ht="18" hidden="1" x14ac:dyDescent="0.35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1" s="27"/>
      <c r="H71" s="27"/>
      <c r="I71" s="27"/>
      <c r="J71" s="27"/>
      <c r="K71" s="27"/>
      <c r="L71" s="27"/>
    </row>
    <row r="72" spans="1:12" ht="18" hidden="1" x14ac:dyDescent="0.35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2" s="27"/>
      <c r="H72" s="27"/>
      <c r="I72" s="27"/>
      <c r="J72" s="27"/>
      <c r="K72" s="27"/>
      <c r="L72" s="27"/>
    </row>
    <row r="73" spans="1:12" ht="18" hidden="1" x14ac:dyDescent="0.35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3" s="27"/>
      <c r="H73" s="27"/>
      <c r="I73" s="27"/>
      <c r="J73" s="27"/>
      <c r="K73" s="27"/>
      <c r="L73" s="27"/>
    </row>
    <row r="74" spans="1:12" ht="18" hidden="1" x14ac:dyDescent="0.35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4" s="27"/>
      <c r="H74" s="27"/>
      <c r="I74" s="27"/>
      <c r="J74" s="27"/>
      <c r="K74" s="27"/>
      <c r="L74" s="27"/>
    </row>
    <row r="75" spans="1:12" ht="18" hidden="1" x14ac:dyDescent="0.35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5" s="27"/>
      <c r="H75" s="27"/>
      <c r="I75" s="27"/>
      <c r="J75" s="27"/>
      <c r="K75" s="27"/>
      <c r="L75" s="27"/>
    </row>
    <row r="76" spans="1:12" ht="18" hidden="1" x14ac:dyDescent="0.35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6" s="27"/>
      <c r="H76" s="27"/>
      <c r="I76" s="27"/>
      <c r="J76" s="27"/>
      <c r="K76" s="27"/>
      <c r="L76" s="27"/>
    </row>
    <row r="77" spans="1:12" ht="18" hidden="1" x14ac:dyDescent="0.35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7" s="27"/>
      <c r="H77" s="27"/>
      <c r="I77" s="27"/>
      <c r="J77" s="27"/>
      <c r="K77" s="27"/>
      <c r="L77" s="27"/>
    </row>
    <row r="78" spans="1:12" ht="18" hidden="1" x14ac:dyDescent="0.35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8" s="27"/>
      <c r="H78" s="27"/>
      <c r="I78" s="27"/>
      <c r="J78" s="27"/>
      <c r="K78" s="27"/>
      <c r="L78" s="27"/>
    </row>
    <row r="79" spans="1:12" ht="18" hidden="1" x14ac:dyDescent="0.35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9" s="27"/>
      <c r="H79" s="27"/>
      <c r="I79" s="27"/>
      <c r="J79" s="27"/>
      <c r="K79" s="27"/>
      <c r="L79" s="27"/>
    </row>
    <row r="80" spans="1:12" ht="18" hidden="1" x14ac:dyDescent="0.35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0" s="27"/>
      <c r="H80" s="27"/>
      <c r="I80" s="27"/>
      <c r="J80" s="27"/>
      <c r="K80" s="27"/>
      <c r="L80" s="27"/>
    </row>
    <row r="81" spans="1:12" ht="18" hidden="1" x14ac:dyDescent="0.35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1" s="27"/>
      <c r="H81" s="27"/>
      <c r="I81" s="27"/>
      <c r="J81" s="27"/>
      <c r="K81" s="27"/>
      <c r="L81" s="27"/>
    </row>
    <row r="82" spans="1:12" ht="18" hidden="1" x14ac:dyDescent="0.35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2" s="27"/>
      <c r="H82" s="27"/>
      <c r="I82" s="27"/>
      <c r="J82" s="27"/>
      <c r="K82" s="27"/>
      <c r="L82" s="27"/>
    </row>
    <row r="83" spans="1:12" ht="18" hidden="1" x14ac:dyDescent="0.35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3" s="27"/>
      <c r="H83" s="27"/>
      <c r="I83" s="27"/>
      <c r="J83" s="27"/>
      <c r="K83" s="27"/>
      <c r="L83" s="27"/>
    </row>
    <row r="84" spans="1:12" ht="18" hidden="1" x14ac:dyDescent="0.35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4" s="27"/>
      <c r="H84" s="27"/>
      <c r="I84" s="27"/>
      <c r="J84" s="27"/>
      <c r="K84" s="27"/>
      <c r="L84" s="27"/>
    </row>
    <row r="85" spans="1:12" ht="18" hidden="1" x14ac:dyDescent="0.35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5" s="27"/>
      <c r="H85" s="27"/>
      <c r="I85" s="27"/>
      <c r="J85" s="27"/>
      <c r="K85" s="27"/>
      <c r="L85" s="27"/>
    </row>
    <row r="86" spans="1:12" ht="18" hidden="1" x14ac:dyDescent="0.35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6" s="27"/>
      <c r="H86" s="27"/>
      <c r="I86" s="27"/>
      <c r="J86" s="27"/>
      <c r="K86" s="27"/>
      <c r="L86" s="27"/>
    </row>
    <row r="87" spans="1:12" ht="18" hidden="1" x14ac:dyDescent="0.35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7" s="27"/>
      <c r="H87" s="27"/>
      <c r="I87" s="27"/>
      <c r="J87" s="27"/>
      <c r="K87" s="27"/>
      <c r="L87" s="27"/>
    </row>
    <row r="88" spans="1:12" ht="18" hidden="1" x14ac:dyDescent="0.35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8" s="27"/>
      <c r="H88" s="27"/>
      <c r="I88" s="27"/>
      <c r="J88" s="27"/>
      <c r="K88" s="27"/>
      <c r="L88" s="27"/>
    </row>
    <row r="89" spans="1:12" ht="18" hidden="1" x14ac:dyDescent="0.35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9" s="27"/>
      <c r="H89" s="27"/>
      <c r="I89" s="27"/>
      <c r="J89" s="27"/>
      <c r="K89" s="27"/>
      <c r="L89" s="27"/>
    </row>
    <row r="90" spans="1:12" ht="18" hidden="1" x14ac:dyDescent="0.35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0" s="27"/>
      <c r="H90" s="27"/>
      <c r="I90" s="27"/>
      <c r="J90" s="27"/>
      <c r="K90" s="27"/>
      <c r="L90" s="27"/>
    </row>
    <row r="91" spans="1:12" ht="18" hidden="1" x14ac:dyDescent="0.35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1" s="27"/>
      <c r="H91" s="27"/>
      <c r="I91" s="27"/>
      <c r="J91" s="27"/>
      <c r="K91" s="27"/>
      <c r="L91" s="27"/>
    </row>
    <row r="92" spans="1:12" ht="18" hidden="1" x14ac:dyDescent="0.35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2" s="27"/>
      <c r="H92" s="27"/>
      <c r="I92" s="27"/>
      <c r="J92" s="27"/>
      <c r="K92" s="27"/>
      <c r="L92" s="27"/>
    </row>
    <row r="93" spans="1:12" ht="18" hidden="1" x14ac:dyDescent="0.35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3" s="27"/>
      <c r="H93" s="27"/>
      <c r="I93" s="27"/>
      <c r="J93" s="27"/>
      <c r="K93" s="27"/>
      <c r="L93" s="27"/>
    </row>
    <row r="94" spans="1:12" ht="18" hidden="1" x14ac:dyDescent="0.35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4" s="27"/>
      <c r="H94" s="27"/>
      <c r="I94" s="27"/>
      <c r="J94" s="27"/>
      <c r="K94" s="27"/>
      <c r="L94" s="27"/>
    </row>
    <row r="95" spans="1:12" ht="18" hidden="1" x14ac:dyDescent="0.35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5" s="27"/>
      <c r="H95" s="27"/>
      <c r="I95" s="27"/>
      <c r="J95" s="27"/>
      <c r="K95" s="27"/>
      <c r="L95" s="27"/>
    </row>
    <row r="96" spans="1:12" ht="18" hidden="1" x14ac:dyDescent="0.35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6" s="27"/>
      <c r="H96" s="27"/>
      <c r="I96" s="27"/>
      <c r="J96" s="27"/>
      <c r="K96" s="27"/>
      <c r="L96" s="27"/>
    </row>
    <row r="97" spans="1:12" ht="18" hidden="1" x14ac:dyDescent="0.35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7" s="27"/>
      <c r="H97" s="27"/>
      <c r="I97" s="27"/>
      <c r="J97" s="27"/>
      <c r="K97" s="27"/>
      <c r="L97" s="27"/>
    </row>
    <row r="98" spans="1:12" ht="18" hidden="1" x14ac:dyDescent="0.35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8" s="27"/>
      <c r="H98" s="27"/>
      <c r="I98" s="27"/>
      <c r="J98" s="27"/>
      <c r="K98" s="27"/>
      <c r="L98" s="27"/>
    </row>
    <row r="99" spans="1:12" ht="18" hidden="1" x14ac:dyDescent="0.35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9" s="27"/>
      <c r="H99" s="27"/>
      <c r="I99" s="27"/>
      <c r="J99" s="27"/>
      <c r="K99" s="27"/>
      <c r="L99" s="27"/>
    </row>
    <row r="100" spans="1:12" ht="18" hidden="1" x14ac:dyDescent="0.35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0" s="27"/>
      <c r="H100" s="27"/>
      <c r="I100" s="27"/>
      <c r="J100" s="27"/>
      <c r="K100" s="27"/>
      <c r="L100" s="27"/>
    </row>
    <row r="101" spans="1:12" ht="18" hidden="1" x14ac:dyDescent="0.35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1" s="27"/>
      <c r="H101" s="27"/>
      <c r="I101" s="27"/>
      <c r="J101" s="27"/>
      <c r="K101" s="27"/>
      <c r="L101" s="27"/>
    </row>
    <row r="102" spans="1:12" ht="18" hidden="1" x14ac:dyDescent="0.35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2" s="27"/>
      <c r="H102" s="27"/>
      <c r="I102" s="27"/>
      <c r="J102" s="27"/>
      <c r="K102" s="27"/>
      <c r="L102" s="27"/>
    </row>
    <row r="103" spans="1:12" ht="18" hidden="1" x14ac:dyDescent="0.35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3" s="27"/>
      <c r="H103" s="27"/>
      <c r="I103" s="27"/>
      <c r="J103" s="27"/>
      <c r="K103" s="27"/>
      <c r="L103" s="27"/>
    </row>
    <row r="104" spans="1:12" ht="18" hidden="1" x14ac:dyDescent="0.35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4" s="27"/>
      <c r="H104" s="27"/>
      <c r="I104" s="27"/>
      <c r="J104" s="27"/>
      <c r="K104" s="27"/>
      <c r="L104" s="27"/>
    </row>
    <row r="105" spans="1:12" ht="18" hidden="1" x14ac:dyDescent="0.35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5" s="27"/>
      <c r="H105" s="27"/>
      <c r="I105" s="27"/>
      <c r="J105" s="27"/>
      <c r="K105" s="27"/>
      <c r="L105" s="27"/>
    </row>
    <row r="106" spans="1:12" ht="18" hidden="1" x14ac:dyDescent="0.35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6" s="27"/>
      <c r="H106" s="27"/>
      <c r="I106" s="27"/>
      <c r="J106" s="27"/>
      <c r="K106" s="27"/>
      <c r="L106" s="27"/>
    </row>
    <row r="107" spans="1:12" ht="18" hidden="1" x14ac:dyDescent="0.35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7" s="27"/>
      <c r="H107" s="27"/>
      <c r="I107" s="27"/>
      <c r="J107" s="27"/>
      <c r="K107" s="27"/>
      <c r="L107" s="27"/>
    </row>
    <row r="108" spans="1:12" ht="18" hidden="1" x14ac:dyDescent="0.35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8" s="27"/>
      <c r="H108" s="27"/>
      <c r="I108" s="27"/>
      <c r="J108" s="27"/>
      <c r="K108" s="27"/>
      <c r="L108" s="27"/>
    </row>
    <row r="109" spans="1:12" ht="18" hidden="1" x14ac:dyDescent="0.35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9" s="27"/>
      <c r="H109" s="27"/>
      <c r="I109" s="27"/>
      <c r="J109" s="27"/>
      <c r="K109" s="27"/>
      <c r="L109" s="27"/>
    </row>
    <row r="110" spans="1:12" ht="18" hidden="1" x14ac:dyDescent="0.35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0" s="27"/>
      <c r="H110" s="27"/>
      <c r="I110" s="27"/>
      <c r="J110" s="27"/>
      <c r="K110" s="27"/>
      <c r="L110" s="27"/>
    </row>
    <row r="111" spans="1:12" ht="18" hidden="1" x14ac:dyDescent="0.35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1" s="27"/>
      <c r="H111" s="27"/>
      <c r="I111" s="27"/>
      <c r="J111" s="27"/>
      <c r="K111" s="27"/>
      <c r="L111" s="27"/>
    </row>
    <row r="112" spans="1:12" ht="18" hidden="1" x14ac:dyDescent="0.35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2" s="27"/>
      <c r="H112" s="27"/>
      <c r="I112" s="27"/>
      <c r="J112" s="27"/>
      <c r="K112" s="27"/>
      <c r="L112" s="27"/>
    </row>
    <row r="113" spans="1:12" ht="18" hidden="1" x14ac:dyDescent="0.35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3" s="27"/>
      <c r="H113" s="27"/>
      <c r="I113" s="27"/>
      <c r="J113" s="27"/>
      <c r="K113" s="27"/>
      <c r="L113" s="27"/>
    </row>
    <row r="114" spans="1:12" ht="18" hidden="1" x14ac:dyDescent="0.35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4" s="27"/>
      <c r="H114" s="27"/>
      <c r="I114" s="27"/>
      <c r="J114" s="27"/>
      <c r="K114" s="27"/>
      <c r="L114" s="27"/>
    </row>
    <row r="115" spans="1:12" ht="18" hidden="1" x14ac:dyDescent="0.35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5" s="27"/>
      <c r="H115" s="27"/>
      <c r="I115" s="27"/>
      <c r="J115" s="27"/>
      <c r="K115" s="27"/>
      <c r="L115" s="27"/>
    </row>
    <row r="116" spans="1:12" ht="18" hidden="1" x14ac:dyDescent="0.35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6" s="27"/>
      <c r="H116" s="27"/>
      <c r="I116" s="27"/>
      <c r="J116" s="27"/>
      <c r="K116" s="27"/>
      <c r="L116" s="27"/>
    </row>
    <row r="117" spans="1:12" ht="18" hidden="1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7" s="27"/>
      <c r="H117" s="27"/>
      <c r="I117" s="27"/>
      <c r="J117" s="27"/>
      <c r="K117" s="27"/>
      <c r="L117" s="27"/>
    </row>
    <row r="118" spans="1:12" ht="18" hidden="1" x14ac:dyDescent="0.35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8" s="27"/>
      <c r="H118" s="27"/>
      <c r="I118" s="27"/>
      <c r="J118" s="27"/>
      <c r="K118" s="27"/>
      <c r="L118" s="27"/>
    </row>
    <row r="119" spans="1:12" ht="18" hidden="1" x14ac:dyDescent="0.35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9" s="27"/>
      <c r="H119" s="27"/>
      <c r="I119" s="27"/>
      <c r="J119" s="27"/>
      <c r="K119" s="27"/>
      <c r="L119" s="27"/>
    </row>
    <row r="120" spans="1:12" ht="18" hidden="1" x14ac:dyDescent="0.35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0" s="27"/>
      <c r="H120" s="27"/>
      <c r="I120" s="27"/>
      <c r="J120" s="27"/>
      <c r="K120" s="27"/>
      <c r="L120" s="27"/>
    </row>
    <row r="121" spans="1:12" ht="18" hidden="1" x14ac:dyDescent="0.35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1" s="27"/>
      <c r="H121" s="27"/>
      <c r="I121" s="27"/>
      <c r="J121" s="27"/>
      <c r="K121" s="27"/>
      <c r="L121" s="27"/>
    </row>
    <row r="122" spans="1:12" ht="18" hidden="1" x14ac:dyDescent="0.35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2" s="27"/>
      <c r="H122" s="27"/>
      <c r="I122" s="27"/>
      <c r="J122" s="27"/>
      <c r="K122" s="27"/>
      <c r="L122" s="27"/>
    </row>
    <row r="123" spans="1:12" ht="18" hidden="1" x14ac:dyDescent="0.35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3" s="27"/>
      <c r="H123" s="27"/>
      <c r="I123" s="27"/>
      <c r="J123" s="27"/>
      <c r="K123" s="27"/>
      <c r="L123" s="27"/>
    </row>
    <row r="124" spans="1:12" ht="18" hidden="1" x14ac:dyDescent="0.35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4" s="27"/>
      <c r="H124" s="27"/>
      <c r="I124" s="27"/>
      <c r="J124" s="27"/>
      <c r="K124" s="27"/>
      <c r="L124" s="27"/>
    </row>
    <row r="125" spans="1:12" ht="18" hidden="1" x14ac:dyDescent="0.35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5" s="27"/>
      <c r="H125" s="27"/>
      <c r="I125" s="27"/>
      <c r="J125" s="27"/>
      <c r="K125" s="27"/>
      <c r="L125" s="27"/>
    </row>
    <row r="126" spans="1:12" ht="18" hidden="1" x14ac:dyDescent="0.35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6" s="27"/>
      <c r="H126" s="27"/>
      <c r="I126" s="27"/>
      <c r="J126" s="27"/>
      <c r="K126" s="27"/>
      <c r="L126" s="27"/>
    </row>
    <row r="127" spans="1:12" ht="18" hidden="1" x14ac:dyDescent="0.35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7" s="27"/>
      <c r="H127" s="27"/>
      <c r="I127" s="27"/>
      <c r="J127" s="27"/>
      <c r="K127" s="27"/>
      <c r="L127" s="27"/>
    </row>
    <row r="128" spans="1:12" ht="18" hidden="1" x14ac:dyDescent="0.35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8" s="27"/>
      <c r="H128" s="27"/>
      <c r="I128" s="27"/>
      <c r="J128" s="27"/>
      <c r="K128" s="27"/>
      <c r="L128" s="27"/>
    </row>
    <row r="129" spans="1:12" ht="18" hidden="1" x14ac:dyDescent="0.35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9" s="27"/>
      <c r="H129" s="27"/>
      <c r="I129" s="27"/>
      <c r="J129" s="27"/>
      <c r="K129" s="27"/>
      <c r="L129" s="27"/>
    </row>
    <row r="130" spans="1:12" ht="18" hidden="1" x14ac:dyDescent="0.35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0" s="27"/>
      <c r="H130" s="27"/>
      <c r="I130" s="27"/>
      <c r="J130" s="27"/>
      <c r="K130" s="27"/>
      <c r="L130" s="27"/>
    </row>
    <row r="131" spans="1:12" ht="18" hidden="1" x14ac:dyDescent="0.35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1" s="27"/>
      <c r="H131" s="27"/>
      <c r="I131" s="27"/>
      <c r="J131" s="27"/>
      <c r="K131" s="27"/>
      <c r="L131" s="27"/>
    </row>
    <row r="132" spans="1:12" ht="18" hidden="1" x14ac:dyDescent="0.35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2" s="27"/>
      <c r="H132" s="27"/>
      <c r="I132" s="27"/>
      <c r="J132" s="27"/>
      <c r="K132" s="27"/>
      <c r="L132" s="27"/>
    </row>
    <row r="133" spans="1:12" ht="18" hidden="1" x14ac:dyDescent="0.35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3" s="27"/>
      <c r="H133" s="27"/>
      <c r="I133" s="27"/>
      <c r="J133" s="27"/>
      <c r="K133" s="27"/>
      <c r="L133" s="27"/>
    </row>
    <row r="134" spans="1:12" ht="18" hidden="1" x14ac:dyDescent="0.35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4" s="27"/>
      <c r="H134" s="27"/>
      <c r="I134" s="27"/>
      <c r="J134" s="27"/>
      <c r="K134" s="27"/>
      <c r="L134" s="27"/>
    </row>
    <row r="135" spans="1:12" ht="18" hidden="1" x14ac:dyDescent="0.35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5" s="27"/>
      <c r="H135" s="27"/>
      <c r="I135" s="27"/>
      <c r="J135" s="27"/>
      <c r="K135" s="27"/>
      <c r="L135" s="27"/>
    </row>
    <row r="136" spans="1:12" ht="18" hidden="1" x14ac:dyDescent="0.35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6" s="27"/>
      <c r="H136" s="27"/>
      <c r="I136" s="27"/>
      <c r="J136" s="27"/>
      <c r="K136" s="27"/>
      <c r="L136" s="27"/>
    </row>
    <row r="137" spans="1:12" ht="18" hidden="1" x14ac:dyDescent="0.35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7" s="27"/>
      <c r="H137" s="27"/>
      <c r="I137" s="27"/>
      <c r="J137" s="27"/>
      <c r="K137" s="27"/>
      <c r="L137" s="27"/>
    </row>
    <row r="138" spans="1:12" ht="18" hidden="1" x14ac:dyDescent="0.35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8" s="27"/>
      <c r="H138" s="27"/>
      <c r="I138" s="27"/>
      <c r="J138" s="27"/>
      <c r="K138" s="27"/>
      <c r="L138" s="27"/>
    </row>
    <row r="139" spans="1:12" ht="18" hidden="1" x14ac:dyDescent="0.35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9" s="27"/>
      <c r="H139" s="27"/>
      <c r="I139" s="27"/>
      <c r="J139" s="27"/>
      <c r="K139" s="27"/>
      <c r="L139" s="27"/>
    </row>
    <row r="140" spans="1:12" ht="18" hidden="1" x14ac:dyDescent="0.35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0" s="27"/>
      <c r="H140" s="27"/>
      <c r="I140" s="27"/>
      <c r="J140" s="27"/>
      <c r="K140" s="27"/>
      <c r="L140" s="27"/>
    </row>
    <row r="141" spans="1:12" ht="18" hidden="1" x14ac:dyDescent="0.35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1" s="27"/>
      <c r="H141" s="27"/>
      <c r="I141" s="27"/>
      <c r="J141" s="27"/>
      <c r="K141" s="27"/>
      <c r="L141" s="27"/>
    </row>
    <row r="142" spans="1:12" ht="18" hidden="1" x14ac:dyDescent="0.35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2" s="27"/>
      <c r="H142" s="27"/>
      <c r="I142" s="27"/>
      <c r="J142" s="27"/>
      <c r="K142" s="27"/>
      <c r="L142" s="27"/>
    </row>
    <row r="143" spans="1:12" ht="18" hidden="1" x14ac:dyDescent="0.35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3" s="27"/>
      <c r="H143" s="27"/>
      <c r="I143" s="27"/>
      <c r="J143" s="27"/>
      <c r="K143" s="27"/>
      <c r="L143" s="27"/>
    </row>
    <row r="144" spans="1:12" ht="18" hidden="1" x14ac:dyDescent="0.35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4" s="27"/>
      <c r="H144" s="27"/>
      <c r="I144" s="27"/>
      <c r="J144" s="27"/>
      <c r="K144" s="27"/>
      <c r="L144" s="27"/>
    </row>
    <row r="145" spans="1:12" ht="18" hidden="1" x14ac:dyDescent="0.35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5" s="27"/>
      <c r="H145" s="27"/>
      <c r="I145" s="27"/>
      <c r="J145" s="27"/>
      <c r="K145" s="27"/>
      <c r="L145" s="27"/>
    </row>
    <row r="146" spans="1:12" ht="18" hidden="1" x14ac:dyDescent="0.35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6" s="27"/>
      <c r="H146" s="27"/>
      <c r="I146" s="27"/>
      <c r="J146" s="27"/>
      <c r="K146" s="27"/>
      <c r="L146" s="27"/>
    </row>
    <row r="147" spans="1:12" ht="18" hidden="1" x14ac:dyDescent="0.3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7" s="27"/>
      <c r="H147" s="27"/>
      <c r="I147" s="27"/>
      <c r="J147" s="27"/>
      <c r="K147" s="27"/>
      <c r="L147" s="27"/>
    </row>
    <row r="148" spans="1:12" ht="18" hidden="1" x14ac:dyDescent="0.35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8" s="27"/>
      <c r="H148" s="27"/>
      <c r="I148" s="27"/>
      <c r="J148" s="27"/>
      <c r="K148" s="27"/>
      <c r="L148" s="27"/>
    </row>
    <row r="149" spans="1:12" ht="18" hidden="1" x14ac:dyDescent="0.35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9" s="27"/>
      <c r="H149" s="27"/>
      <c r="I149" s="27"/>
      <c r="J149" s="27"/>
      <c r="K149" s="27"/>
      <c r="L149" s="27"/>
    </row>
    <row r="150" spans="1:12" ht="18" hidden="1" x14ac:dyDescent="0.35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0" s="27"/>
      <c r="H150" s="27"/>
      <c r="I150" s="27"/>
      <c r="J150" s="27"/>
      <c r="K150" s="27"/>
      <c r="L150" s="27"/>
    </row>
    <row r="151" spans="1:12" ht="18" hidden="1" x14ac:dyDescent="0.35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1" s="27"/>
      <c r="H151" s="27"/>
      <c r="I151" s="27"/>
      <c r="J151" s="27"/>
      <c r="K151" s="27"/>
      <c r="L151" s="27"/>
    </row>
    <row r="152" spans="1:12" ht="18" hidden="1" x14ac:dyDescent="0.35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2" s="27"/>
      <c r="H152" s="27"/>
      <c r="I152" s="27"/>
      <c r="J152" s="27"/>
      <c r="K152" s="27"/>
      <c r="L152" s="27"/>
    </row>
    <row r="153" spans="1:12" ht="18" hidden="1" x14ac:dyDescent="0.35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3" s="27"/>
      <c r="H153" s="27"/>
      <c r="I153" s="27"/>
      <c r="J153" s="27"/>
      <c r="K153" s="27"/>
      <c r="L153" s="27"/>
    </row>
    <row r="154" spans="1:12" ht="18" hidden="1" x14ac:dyDescent="0.35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4" s="27"/>
      <c r="H154" s="27"/>
      <c r="I154" s="27"/>
      <c r="J154" s="27"/>
      <c r="K154" s="27"/>
      <c r="L154" s="27"/>
    </row>
    <row r="155" spans="1:12" ht="18" hidden="1" x14ac:dyDescent="0.35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5" s="27"/>
      <c r="H155" s="27"/>
      <c r="I155" s="27"/>
      <c r="J155" s="27"/>
      <c r="K155" s="27"/>
      <c r="L155" s="27"/>
    </row>
    <row r="156" spans="1:12" ht="18" hidden="1" x14ac:dyDescent="0.35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6" s="27"/>
      <c r="H156" s="27"/>
      <c r="I156" s="27"/>
      <c r="J156" s="27"/>
      <c r="K156" s="27"/>
      <c r="L156" s="27"/>
    </row>
    <row r="157" spans="1:12" ht="18" hidden="1" x14ac:dyDescent="0.35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7" s="27"/>
      <c r="H157" s="27"/>
      <c r="I157" s="27"/>
      <c r="J157" s="27"/>
      <c r="K157" s="27"/>
      <c r="L157" s="27"/>
    </row>
    <row r="158" spans="1:12" ht="18" hidden="1" x14ac:dyDescent="0.35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8" s="27"/>
      <c r="H158" s="27"/>
      <c r="I158" s="27"/>
      <c r="J158" s="27"/>
      <c r="K158" s="27"/>
      <c r="L158" s="27"/>
    </row>
    <row r="159" spans="1:12" ht="18" hidden="1" x14ac:dyDescent="0.35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9" s="27"/>
      <c r="H159" s="27"/>
      <c r="I159" s="27"/>
      <c r="J159" s="27"/>
      <c r="K159" s="27"/>
      <c r="L159" s="27"/>
    </row>
    <row r="160" spans="1:12" ht="18" hidden="1" x14ac:dyDescent="0.35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0" s="27"/>
      <c r="H160" s="27"/>
      <c r="I160" s="27"/>
      <c r="J160" s="27"/>
      <c r="K160" s="27"/>
      <c r="L160" s="27"/>
    </row>
    <row r="161" spans="1:12" ht="18" hidden="1" x14ac:dyDescent="0.35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1" s="27"/>
      <c r="H161" s="27"/>
      <c r="I161" s="27"/>
      <c r="J161" s="27"/>
      <c r="K161" s="27"/>
      <c r="L161" s="27"/>
    </row>
    <row r="162" spans="1:12" ht="18" hidden="1" x14ac:dyDescent="0.35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2" s="27"/>
      <c r="H162" s="27"/>
      <c r="I162" s="27"/>
      <c r="J162" s="27"/>
      <c r="K162" s="27"/>
      <c r="L162" s="27"/>
    </row>
    <row r="163" spans="1:12" ht="18" hidden="1" x14ac:dyDescent="0.35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3" s="27"/>
      <c r="H163" s="27"/>
      <c r="I163" s="27"/>
      <c r="J163" s="27"/>
      <c r="K163" s="27"/>
      <c r="L163" s="27"/>
    </row>
    <row r="164" spans="1:12" ht="18" hidden="1" x14ac:dyDescent="0.35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4" s="27"/>
      <c r="H164" s="27"/>
      <c r="I164" s="27"/>
      <c r="J164" s="27"/>
      <c r="K164" s="27"/>
      <c r="L164" s="27"/>
    </row>
    <row r="165" spans="1:12" ht="18" hidden="1" x14ac:dyDescent="0.35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5" s="27"/>
      <c r="H165" s="27"/>
      <c r="I165" s="27"/>
      <c r="J165" s="27"/>
      <c r="K165" s="27"/>
      <c r="L165" s="27"/>
    </row>
    <row r="166" spans="1:12" ht="18" hidden="1" x14ac:dyDescent="0.35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6" s="27"/>
      <c r="H166" s="27"/>
      <c r="I166" s="27"/>
      <c r="J166" s="27"/>
      <c r="K166" s="27"/>
      <c r="L166" s="27"/>
    </row>
    <row r="167" spans="1:12" ht="18" hidden="1" x14ac:dyDescent="0.35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7" s="27"/>
      <c r="H167" s="27"/>
      <c r="I167" s="27"/>
      <c r="J167" s="27"/>
      <c r="K167" s="27"/>
      <c r="L167" s="27"/>
    </row>
    <row r="168" spans="1:12" ht="18" hidden="1" x14ac:dyDescent="0.35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8" s="27"/>
      <c r="H168" s="27"/>
      <c r="I168" s="27"/>
      <c r="J168" s="27"/>
      <c r="K168" s="27"/>
      <c r="L168" s="27"/>
    </row>
    <row r="169" spans="1:12" ht="18" hidden="1" x14ac:dyDescent="0.35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9" s="27"/>
      <c r="H169" s="27"/>
      <c r="I169" s="27"/>
      <c r="J169" s="27"/>
      <c r="K169" s="27"/>
      <c r="L169" s="27"/>
    </row>
    <row r="170" spans="1:12" ht="18" hidden="1" x14ac:dyDescent="0.35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0" s="27"/>
      <c r="H170" s="27"/>
      <c r="I170" s="27"/>
      <c r="J170" s="27"/>
      <c r="K170" s="27"/>
      <c r="L170" s="27"/>
    </row>
    <row r="171" spans="1:12" ht="18" hidden="1" x14ac:dyDescent="0.35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1" s="27"/>
      <c r="H171" s="27"/>
      <c r="I171" s="27"/>
      <c r="J171" s="27"/>
      <c r="K171" s="27"/>
      <c r="L171" s="27"/>
    </row>
    <row r="172" spans="1:12" ht="18" hidden="1" x14ac:dyDescent="0.35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2" s="27"/>
      <c r="H172" s="27"/>
      <c r="I172" s="27"/>
      <c r="J172" s="27"/>
      <c r="K172" s="27"/>
      <c r="L172" s="27"/>
    </row>
    <row r="173" spans="1:12" ht="18" hidden="1" x14ac:dyDescent="0.35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3" s="27"/>
      <c r="H173" s="27"/>
      <c r="I173" s="27"/>
      <c r="J173" s="27"/>
      <c r="K173" s="27"/>
      <c r="L173" s="27"/>
    </row>
    <row r="174" spans="1:12" ht="18" hidden="1" x14ac:dyDescent="0.35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4" s="27"/>
      <c r="H174" s="27"/>
      <c r="I174" s="27"/>
      <c r="J174" s="27"/>
      <c r="K174" s="27"/>
      <c r="L174" s="27"/>
    </row>
    <row r="175" spans="1:12" ht="18" hidden="1" x14ac:dyDescent="0.35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5" s="27"/>
      <c r="H175" s="27"/>
      <c r="I175" s="27"/>
      <c r="J175" s="27"/>
      <c r="K175" s="27"/>
      <c r="L175" s="27"/>
    </row>
    <row r="176" spans="1:12" ht="18" hidden="1" x14ac:dyDescent="0.35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6" s="27"/>
      <c r="H176" s="27"/>
      <c r="I176" s="27"/>
      <c r="J176" s="27"/>
      <c r="K176" s="27"/>
      <c r="L176" s="27"/>
    </row>
    <row r="177" spans="1:12" ht="18" hidden="1" x14ac:dyDescent="0.35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7" s="27"/>
      <c r="H177" s="27"/>
      <c r="I177" s="27"/>
      <c r="J177" s="27"/>
      <c r="K177" s="27"/>
      <c r="L177" s="27"/>
    </row>
    <row r="178" spans="1:12" ht="18" hidden="1" x14ac:dyDescent="0.35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8" s="27"/>
      <c r="H178" s="27"/>
      <c r="I178" s="27"/>
      <c r="J178" s="27"/>
      <c r="K178" s="27"/>
      <c r="L178" s="27"/>
    </row>
    <row r="179" spans="1:12" ht="18" hidden="1" x14ac:dyDescent="0.35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9" s="27"/>
      <c r="H179" s="27"/>
      <c r="I179" s="27"/>
      <c r="J179" s="27"/>
      <c r="K179" s="27"/>
      <c r="L179" s="27"/>
    </row>
    <row r="180" spans="1:12" ht="18" hidden="1" x14ac:dyDescent="0.35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0" s="27"/>
      <c r="H180" s="27"/>
      <c r="I180" s="27"/>
      <c r="J180" s="27"/>
      <c r="K180" s="27"/>
      <c r="L180" s="27"/>
    </row>
    <row r="181" spans="1:12" ht="18" hidden="1" x14ac:dyDescent="0.35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1" s="27"/>
      <c r="H181" s="27"/>
      <c r="I181" s="27"/>
      <c r="J181" s="27"/>
      <c r="K181" s="27"/>
      <c r="L181" s="27"/>
    </row>
    <row r="182" spans="1:12" ht="18" hidden="1" x14ac:dyDescent="0.35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2" s="27"/>
      <c r="H182" s="27"/>
      <c r="I182" s="27"/>
      <c r="J182" s="27"/>
      <c r="K182" s="27"/>
      <c r="L182" s="27"/>
    </row>
    <row r="183" spans="1:12" ht="18" hidden="1" x14ac:dyDescent="0.35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3" s="27"/>
      <c r="H183" s="27"/>
      <c r="I183" s="27"/>
      <c r="J183" s="27"/>
      <c r="K183" s="27"/>
      <c r="L183" s="27"/>
    </row>
    <row r="184" spans="1:12" ht="18" hidden="1" x14ac:dyDescent="0.35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4" s="27"/>
      <c r="H184" s="27"/>
      <c r="I184" s="27"/>
      <c r="J184" s="27"/>
      <c r="K184" s="27"/>
      <c r="L184" s="27"/>
    </row>
    <row r="185" spans="1:12" ht="18" hidden="1" x14ac:dyDescent="0.35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5" s="27"/>
      <c r="H185" s="27"/>
      <c r="I185" s="27"/>
      <c r="J185" s="27"/>
      <c r="K185" s="27"/>
      <c r="L185" s="27"/>
    </row>
    <row r="186" spans="1:12" ht="18" hidden="1" x14ac:dyDescent="0.35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6" s="27"/>
      <c r="H186" s="27"/>
      <c r="I186" s="27"/>
      <c r="J186" s="27"/>
      <c r="K186" s="27"/>
      <c r="L186" s="27"/>
    </row>
    <row r="187" spans="1:12" ht="18" hidden="1" x14ac:dyDescent="0.35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7" s="27"/>
      <c r="H187" s="27"/>
      <c r="I187" s="27"/>
      <c r="J187" s="27"/>
      <c r="K187" s="27"/>
      <c r="L187" s="27"/>
    </row>
    <row r="188" spans="1:12" ht="18" hidden="1" x14ac:dyDescent="0.35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8" s="27"/>
      <c r="H188" s="27"/>
      <c r="I188" s="27"/>
      <c r="J188" s="27"/>
      <c r="K188" s="27"/>
      <c r="L188" s="27"/>
    </row>
    <row r="189" spans="1:12" ht="18" hidden="1" x14ac:dyDescent="0.35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9" s="27"/>
      <c r="H189" s="27"/>
      <c r="I189" s="27"/>
      <c r="J189" s="27"/>
      <c r="K189" s="27"/>
      <c r="L189" s="27"/>
    </row>
    <row r="190" spans="1:12" ht="18" hidden="1" x14ac:dyDescent="0.35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0" s="27"/>
      <c r="H190" s="27"/>
      <c r="I190" s="27"/>
      <c r="J190" s="27"/>
      <c r="K190" s="27"/>
      <c r="L190" s="27"/>
    </row>
    <row r="191" spans="1:12" ht="18" hidden="1" x14ac:dyDescent="0.35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1" s="27"/>
      <c r="H191" s="27"/>
      <c r="I191" s="27"/>
      <c r="J191" s="27"/>
      <c r="K191" s="27"/>
      <c r="L191" s="27"/>
    </row>
    <row r="192" spans="1:12" ht="18" hidden="1" x14ac:dyDescent="0.35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2" s="27"/>
      <c r="H192" s="27"/>
      <c r="I192" s="27"/>
      <c r="J192" s="27"/>
      <c r="K192" s="27"/>
      <c r="L192" s="27"/>
    </row>
    <row r="193" spans="1:12" ht="18" hidden="1" x14ac:dyDescent="0.35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5952-4D54-4704-959A-7C58FF21D210}">
  <sheetPr codeName="Sheet19"/>
  <dimension ref="A1:E19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2.88671875" style="3" customWidth="1"/>
    <col min="2" max="2" width="20.5546875" customWidth="1"/>
    <col min="3" max="3" width="30.109375" customWidth="1"/>
    <col min="4" max="4" width="66.5546875" customWidth="1"/>
    <col min="5" max="5" width="12.5546875" customWidth="1"/>
    <col min="6" max="6" width="13.5546875" customWidth="1"/>
    <col min="7" max="7" width="13.4414062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66549</v>
      </c>
      <c r="B2" t="s">
        <v>23</v>
      </c>
      <c r="C2" t="s">
        <v>24</v>
      </c>
      <c r="D2" t="s">
        <v>25</v>
      </c>
      <c r="E2">
        <v>12</v>
      </c>
    </row>
    <row r="3" spans="1:5" x14ac:dyDescent="0.3">
      <c r="A3">
        <v>59237</v>
      </c>
      <c r="B3" t="s">
        <v>23</v>
      </c>
      <c r="C3" t="s">
        <v>24</v>
      </c>
      <c r="D3" t="s">
        <v>26</v>
      </c>
      <c r="E3">
        <v>24</v>
      </c>
    </row>
    <row r="4" spans="1:5" x14ac:dyDescent="0.3">
      <c r="A4">
        <v>64212</v>
      </c>
      <c r="B4" t="s">
        <v>23</v>
      </c>
      <c r="C4" t="s">
        <v>24</v>
      </c>
      <c r="D4" t="s">
        <v>27</v>
      </c>
      <c r="E4">
        <v>24</v>
      </c>
    </row>
    <row r="5" spans="1:5" x14ac:dyDescent="0.3">
      <c r="A5">
        <v>54419</v>
      </c>
      <c r="B5" t="s">
        <v>23</v>
      </c>
      <c r="C5" t="s">
        <v>24</v>
      </c>
      <c r="D5" t="s">
        <v>28</v>
      </c>
      <c r="E5">
        <v>24</v>
      </c>
    </row>
    <row r="6" spans="1:5" x14ac:dyDescent="0.3">
      <c r="A6">
        <v>60039</v>
      </c>
      <c r="B6" t="s">
        <v>23</v>
      </c>
      <c r="C6" t="s">
        <v>24</v>
      </c>
      <c r="D6" t="s">
        <v>29</v>
      </c>
      <c r="E6">
        <v>24</v>
      </c>
    </row>
    <row r="7" spans="1:5" x14ac:dyDescent="0.3">
      <c r="A7">
        <v>69689</v>
      </c>
      <c r="B7" t="s">
        <v>23</v>
      </c>
      <c r="C7" t="s">
        <v>24</v>
      </c>
      <c r="D7" t="s">
        <v>30</v>
      </c>
      <c r="E7">
        <v>24</v>
      </c>
    </row>
    <row r="8" spans="1:5" x14ac:dyDescent="0.3">
      <c r="A8">
        <v>60612</v>
      </c>
      <c r="B8" t="s">
        <v>31</v>
      </c>
      <c r="C8" t="s">
        <v>24</v>
      </c>
      <c r="D8" t="s">
        <v>32</v>
      </c>
      <c r="E8">
        <v>24</v>
      </c>
    </row>
    <row r="9" spans="1:5" x14ac:dyDescent="0.3">
      <c r="A9">
        <v>383</v>
      </c>
      <c r="B9" t="s">
        <v>33</v>
      </c>
      <c r="C9" t="s">
        <v>24</v>
      </c>
      <c r="D9" t="s">
        <v>34</v>
      </c>
      <c r="E9">
        <v>24</v>
      </c>
    </row>
    <row r="10" spans="1:5" x14ac:dyDescent="0.3">
      <c r="A10">
        <v>191</v>
      </c>
      <c r="B10" t="s">
        <v>33</v>
      </c>
      <c r="C10" t="s">
        <v>24</v>
      </c>
      <c r="D10" t="s">
        <v>35</v>
      </c>
      <c r="E10">
        <v>24</v>
      </c>
    </row>
    <row r="11" spans="1:5" x14ac:dyDescent="0.3">
      <c r="A11" s="3">
        <v>116393</v>
      </c>
      <c r="B11" t="s">
        <v>33</v>
      </c>
      <c r="C11" t="s">
        <v>24</v>
      </c>
      <c r="D11" t="s">
        <v>36</v>
      </c>
      <c r="E11">
        <v>24</v>
      </c>
    </row>
    <row r="12" spans="1:5" x14ac:dyDescent="0.3">
      <c r="A12">
        <v>36728</v>
      </c>
      <c r="B12" t="s">
        <v>33</v>
      </c>
      <c r="C12" t="s">
        <v>24</v>
      </c>
      <c r="D12" t="s">
        <v>37</v>
      </c>
      <c r="E12">
        <v>24</v>
      </c>
    </row>
    <row r="13" spans="1:5" x14ac:dyDescent="0.3">
      <c r="A13">
        <v>22465</v>
      </c>
      <c r="B13" t="s">
        <v>33</v>
      </c>
      <c r="C13" t="s">
        <v>24</v>
      </c>
      <c r="D13" t="s">
        <v>38</v>
      </c>
      <c r="E13">
        <v>24</v>
      </c>
    </row>
    <row r="14" spans="1:5" x14ac:dyDescent="0.3">
      <c r="A14">
        <v>24115</v>
      </c>
      <c r="B14" t="s">
        <v>33</v>
      </c>
      <c r="C14" t="s">
        <v>24</v>
      </c>
      <c r="D14" t="s">
        <v>39</v>
      </c>
      <c r="E14">
        <v>24</v>
      </c>
    </row>
    <row r="15" spans="1:5" x14ac:dyDescent="0.3">
      <c r="A15">
        <v>32471</v>
      </c>
      <c r="B15" t="s">
        <v>33</v>
      </c>
      <c r="C15" t="s">
        <v>24</v>
      </c>
      <c r="D15" t="s">
        <v>40</v>
      </c>
      <c r="E15">
        <v>24</v>
      </c>
    </row>
    <row r="16" spans="1:5" x14ac:dyDescent="0.3">
      <c r="A16">
        <v>34663</v>
      </c>
      <c r="B16" t="s">
        <v>33</v>
      </c>
      <c r="C16" t="s">
        <v>24</v>
      </c>
      <c r="D16" t="s">
        <v>41</v>
      </c>
      <c r="E16">
        <v>24</v>
      </c>
    </row>
    <row r="17" spans="1:5" x14ac:dyDescent="0.3">
      <c r="A17">
        <v>67145</v>
      </c>
      <c r="B17" t="s">
        <v>42</v>
      </c>
      <c r="C17" t="s">
        <v>24</v>
      </c>
      <c r="D17" t="s">
        <v>43</v>
      </c>
      <c r="E17">
        <v>24</v>
      </c>
    </row>
    <row r="18" spans="1:5" x14ac:dyDescent="0.3">
      <c r="A18" s="3">
        <v>123</v>
      </c>
      <c r="B18" t="s">
        <v>44</v>
      </c>
      <c r="C18" t="s">
        <v>45</v>
      </c>
      <c r="D18" t="s">
        <v>46</v>
      </c>
      <c r="E18">
        <v>6</v>
      </c>
    </row>
    <row r="19" spans="1:5" x14ac:dyDescent="0.3">
      <c r="A19">
        <v>53301</v>
      </c>
      <c r="B19" t="s">
        <v>44</v>
      </c>
      <c r="C19" t="s">
        <v>45</v>
      </c>
      <c r="D19" t="s">
        <v>47</v>
      </c>
      <c r="E19">
        <v>6</v>
      </c>
    </row>
    <row r="20" spans="1:5" x14ac:dyDescent="0.3">
      <c r="A20">
        <v>138</v>
      </c>
      <c r="B20" t="s">
        <v>44</v>
      </c>
      <c r="C20" t="s">
        <v>45</v>
      </c>
      <c r="D20" t="s">
        <v>48</v>
      </c>
      <c r="E20">
        <v>6</v>
      </c>
    </row>
    <row r="21" spans="1:5" x14ac:dyDescent="0.3">
      <c r="A21">
        <v>134</v>
      </c>
      <c r="B21" t="s">
        <v>44</v>
      </c>
      <c r="C21" t="s">
        <v>45</v>
      </c>
      <c r="D21" t="s">
        <v>49</v>
      </c>
      <c r="E21">
        <v>6</v>
      </c>
    </row>
    <row r="22" spans="1:5" x14ac:dyDescent="0.3">
      <c r="A22">
        <v>41536</v>
      </c>
      <c r="B22" t="s">
        <v>50</v>
      </c>
      <c r="C22" t="s">
        <v>45</v>
      </c>
      <c r="D22" t="s">
        <v>51</v>
      </c>
      <c r="E22">
        <v>6</v>
      </c>
    </row>
    <row r="23" spans="1:5" x14ac:dyDescent="0.3">
      <c r="A23">
        <v>55914</v>
      </c>
      <c r="B23" t="s">
        <v>50</v>
      </c>
      <c r="C23" t="s">
        <v>45</v>
      </c>
      <c r="D23" t="s">
        <v>52</v>
      </c>
      <c r="E23">
        <v>6</v>
      </c>
    </row>
    <row r="24" spans="1:5" x14ac:dyDescent="0.3">
      <c r="A24">
        <v>68571</v>
      </c>
      <c r="B24" t="s">
        <v>53</v>
      </c>
      <c r="C24" t="s">
        <v>54</v>
      </c>
      <c r="D24" t="s">
        <v>55</v>
      </c>
      <c r="E24">
        <v>12</v>
      </c>
    </row>
    <row r="25" spans="1:5" x14ac:dyDescent="0.3">
      <c r="A25">
        <v>70373</v>
      </c>
      <c r="B25" t="s">
        <v>53</v>
      </c>
      <c r="C25" t="s">
        <v>54</v>
      </c>
      <c r="D25" t="s">
        <v>56</v>
      </c>
      <c r="E25">
        <v>6</v>
      </c>
    </row>
    <row r="26" spans="1:5" x14ac:dyDescent="0.3">
      <c r="A26">
        <v>70383</v>
      </c>
      <c r="B26" t="s">
        <v>53</v>
      </c>
      <c r="C26" t="s">
        <v>54</v>
      </c>
      <c r="D26" t="s">
        <v>57</v>
      </c>
      <c r="E26">
        <v>6</v>
      </c>
    </row>
    <row r="27" spans="1:5" x14ac:dyDescent="0.3">
      <c r="A27">
        <v>62755</v>
      </c>
      <c r="B27" t="s">
        <v>53</v>
      </c>
      <c r="C27" t="s">
        <v>54</v>
      </c>
      <c r="D27" t="s">
        <v>58</v>
      </c>
      <c r="E27">
        <v>6</v>
      </c>
    </row>
    <row r="28" spans="1:5" x14ac:dyDescent="0.3">
      <c r="A28">
        <v>232</v>
      </c>
      <c r="B28" t="s">
        <v>53</v>
      </c>
      <c r="C28" t="s">
        <v>54</v>
      </c>
      <c r="D28" t="s">
        <v>59</v>
      </c>
      <c r="E28">
        <v>8</v>
      </c>
    </row>
    <row r="29" spans="1:5" x14ac:dyDescent="0.3">
      <c r="A29">
        <v>22717</v>
      </c>
      <c r="B29" t="s">
        <v>53</v>
      </c>
      <c r="C29" t="s">
        <v>54</v>
      </c>
      <c r="D29" t="s">
        <v>60</v>
      </c>
      <c r="E29">
        <v>24</v>
      </c>
    </row>
    <row r="30" spans="1:5" x14ac:dyDescent="0.3">
      <c r="A30">
        <v>67826</v>
      </c>
      <c r="B30" t="s">
        <v>61</v>
      </c>
      <c r="C30" t="s">
        <v>54</v>
      </c>
      <c r="D30" t="s">
        <v>62</v>
      </c>
      <c r="E30">
        <v>24</v>
      </c>
    </row>
    <row r="31" spans="1:5" x14ac:dyDescent="0.3">
      <c r="A31">
        <v>21852</v>
      </c>
      <c r="B31" t="s">
        <v>61</v>
      </c>
      <c r="C31" t="s">
        <v>54</v>
      </c>
      <c r="D31" t="s">
        <v>63</v>
      </c>
      <c r="E31">
        <v>6</v>
      </c>
    </row>
    <row r="32" spans="1:5" x14ac:dyDescent="0.3">
      <c r="A32">
        <v>15980</v>
      </c>
      <c r="B32" t="s">
        <v>61</v>
      </c>
      <c r="C32" t="s">
        <v>54</v>
      </c>
      <c r="D32" t="s">
        <v>64</v>
      </c>
      <c r="E32">
        <v>6</v>
      </c>
    </row>
    <row r="33" spans="1:5" x14ac:dyDescent="0.3">
      <c r="A33">
        <v>14685</v>
      </c>
      <c r="B33" t="s">
        <v>61</v>
      </c>
      <c r="C33" t="s">
        <v>54</v>
      </c>
      <c r="D33" t="s">
        <v>65</v>
      </c>
      <c r="E33">
        <v>6</v>
      </c>
    </row>
    <row r="34" spans="1:5" x14ac:dyDescent="0.3">
      <c r="A34">
        <v>21853</v>
      </c>
      <c r="B34" t="s">
        <v>61</v>
      </c>
      <c r="C34" t="s">
        <v>54</v>
      </c>
      <c r="D34" t="s">
        <v>66</v>
      </c>
      <c r="E34">
        <v>4</v>
      </c>
    </row>
    <row r="35" spans="1:5" x14ac:dyDescent="0.3">
      <c r="A35">
        <v>67827</v>
      </c>
      <c r="B35" t="s">
        <v>61</v>
      </c>
      <c r="C35" t="s">
        <v>54</v>
      </c>
      <c r="D35" t="s">
        <v>67</v>
      </c>
      <c r="E35">
        <v>24</v>
      </c>
    </row>
    <row r="36" spans="1:5" x14ac:dyDescent="0.3">
      <c r="A36">
        <v>65135</v>
      </c>
      <c r="B36" t="s">
        <v>61</v>
      </c>
      <c r="C36" t="s">
        <v>54</v>
      </c>
      <c r="D36" t="s">
        <v>68</v>
      </c>
      <c r="E36">
        <v>6</v>
      </c>
    </row>
    <row r="37" spans="1:5" x14ac:dyDescent="0.3">
      <c r="A37">
        <v>66213</v>
      </c>
      <c r="B37" t="s">
        <v>61</v>
      </c>
      <c r="C37" t="s">
        <v>54</v>
      </c>
      <c r="D37" t="s">
        <v>69</v>
      </c>
      <c r="E37">
        <v>6</v>
      </c>
    </row>
    <row r="38" spans="1:5" x14ac:dyDescent="0.3">
      <c r="A38">
        <v>61492</v>
      </c>
      <c r="B38" t="s">
        <v>70</v>
      </c>
      <c r="C38" t="s">
        <v>54</v>
      </c>
      <c r="D38" t="s">
        <v>71</v>
      </c>
      <c r="E38">
        <v>12</v>
      </c>
    </row>
    <row r="39" spans="1:5" x14ac:dyDescent="0.3">
      <c r="A39">
        <v>69492</v>
      </c>
      <c r="B39" t="s">
        <v>72</v>
      </c>
      <c r="C39" t="s">
        <v>54</v>
      </c>
      <c r="D39" t="s">
        <v>73</v>
      </c>
      <c r="E39">
        <v>1</v>
      </c>
    </row>
    <row r="40" spans="1:5" x14ac:dyDescent="0.3">
      <c r="A40">
        <v>69496</v>
      </c>
      <c r="B40" t="s">
        <v>72</v>
      </c>
      <c r="C40" t="s">
        <v>54</v>
      </c>
      <c r="D40" t="s">
        <v>74</v>
      </c>
      <c r="E40">
        <v>1</v>
      </c>
    </row>
    <row r="41" spans="1:5" x14ac:dyDescent="0.3">
      <c r="A41">
        <v>69510</v>
      </c>
      <c r="B41" t="s">
        <v>72</v>
      </c>
      <c r="C41" t="s">
        <v>54</v>
      </c>
      <c r="D41" t="s">
        <v>75</v>
      </c>
      <c r="E41">
        <v>1</v>
      </c>
    </row>
    <row r="42" spans="1:5" x14ac:dyDescent="0.3">
      <c r="A42">
        <v>69501</v>
      </c>
      <c r="B42" t="s">
        <v>72</v>
      </c>
      <c r="C42" t="s">
        <v>54</v>
      </c>
      <c r="D42" t="s">
        <v>76</v>
      </c>
      <c r="E42">
        <v>1</v>
      </c>
    </row>
    <row r="43" spans="1:5" x14ac:dyDescent="0.3">
      <c r="A43">
        <v>69504</v>
      </c>
      <c r="B43" t="s">
        <v>72</v>
      </c>
      <c r="C43" t="s">
        <v>54</v>
      </c>
      <c r="D43" t="s">
        <v>77</v>
      </c>
      <c r="E43">
        <v>1</v>
      </c>
    </row>
    <row r="44" spans="1:5" x14ac:dyDescent="0.3">
      <c r="A44">
        <v>69506</v>
      </c>
      <c r="B44" t="s">
        <v>72</v>
      </c>
      <c r="C44" t="s">
        <v>54</v>
      </c>
      <c r="D44" t="s">
        <v>78</v>
      </c>
      <c r="E44">
        <v>1</v>
      </c>
    </row>
    <row r="45" spans="1:5" x14ac:dyDescent="0.3">
      <c r="A45">
        <v>35694</v>
      </c>
      <c r="B45" t="s">
        <v>79</v>
      </c>
      <c r="C45" t="s">
        <v>54</v>
      </c>
      <c r="D45" t="s">
        <v>80</v>
      </c>
      <c r="E45">
        <v>24</v>
      </c>
    </row>
    <row r="46" spans="1:5" x14ac:dyDescent="0.3">
      <c r="A46">
        <v>9003</v>
      </c>
      <c r="B46" t="s">
        <v>79</v>
      </c>
      <c r="C46" t="s">
        <v>54</v>
      </c>
      <c r="D46" t="s">
        <v>81</v>
      </c>
      <c r="E46">
        <v>24</v>
      </c>
    </row>
    <row r="47" spans="1:5" x14ac:dyDescent="0.3">
      <c r="A47">
        <v>9004</v>
      </c>
      <c r="B47" t="s">
        <v>79</v>
      </c>
      <c r="C47" t="s">
        <v>54</v>
      </c>
      <c r="D47" t="s">
        <v>82</v>
      </c>
      <c r="E47">
        <v>24</v>
      </c>
    </row>
    <row r="48" spans="1:5" x14ac:dyDescent="0.3">
      <c r="A48">
        <v>69493</v>
      </c>
      <c r="B48" t="s">
        <v>79</v>
      </c>
      <c r="C48" t="s">
        <v>54</v>
      </c>
      <c r="D48" t="s">
        <v>83</v>
      </c>
      <c r="E48">
        <v>24</v>
      </c>
    </row>
    <row r="49" spans="1:5" x14ac:dyDescent="0.3">
      <c r="A49">
        <v>69467</v>
      </c>
      <c r="B49" t="s">
        <v>79</v>
      </c>
      <c r="C49" t="s">
        <v>54</v>
      </c>
      <c r="D49" t="s">
        <v>84</v>
      </c>
      <c r="E49">
        <v>24</v>
      </c>
    </row>
    <row r="50" spans="1:5" x14ac:dyDescent="0.3">
      <c r="A50">
        <v>18113</v>
      </c>
      <c r="B50" t="s">
        <v>79</v>
      </c>
      <c r="C50" t="s">
        <v>54</v>
      </c>
      <c r="D50" t="s">
        <v>85</v>
      </c>
      <c r="E50">
        <v>24</v>
      </c>
    </row>
    <row r="51" spans="1:5" x14ac:dyDescent="0.3">
      <c r="A51">
        <v>34649</v>
      </c>
      <c r="B51" t="s">
        <v>79</v>
      </c>
      <c r="C51" t="s">
        <v>54</v>
      </c>
      <c r="D51" t="s">
        <v>86</v>
      </c>
      <c r="E51">
        <v>24</v>
      </c>
    </row>
    <row r="52" spans="1:5" x14ac:dyDescent="0.3">
      <c r="A52">
        <v>69505</v>
      </c>
      <c r="B52" t="s">
        <v>79</v>
      </c>
      <c r="C52" t="s">
        <v>54</v>
      </c>
      <c r="D52" t="s">
        <v>87</v>
      </c>
      <c r="E52">
        <v>24</v>
      </c>
    </row>
    <row r="53" spans="1:5" x14ac:dyDescent="0.3">
      <c r="A53">
        <v>69500</v>
      </c>
      <c r="B53" t="s">
        <v>79</v>
      </c>
      <c r="C53" t="s">
        <v>54</v>
      </c>
      <c r="D53" t="s">
        <v>88</v>
      </c>
      <c r="E53">
        <v>24</v>
      </c>
    </row>
    <row r="54" spans="1:5" x14ac:dyDescent="0.3">
      <c r="A54">
        <v>69502</v>
      </c>
      <c r="B54" t="s">
        <v>79</v>
      </c>
      <c r="C54" t="s">
        <v>54</v>
      </c>
      <c r="D54" t="s">
        <v>89</v>
      </c>
      <c r="E54">
        <v>24</v>
      </c>
    </row>
    <row r="55" spans="1:5" x14ac:dyDescent="0.3">
      <c r="A55">
        <v>69509</v>
      </c>
      <c r="B55" t="s">
        <v>79</v>
      </c>
      <c r="C55" t="s">
        <v>54</v>
      </c>
      <c r="D55" t="s">
        <v>90</v>
      </c>
      <c r="E55">
        <v>24</v>
      </c>
    </row>
    <row r="56" spans="1:5" x14ac:dyDescent="0.3">
      <c r="A56">
        <v>69822</v>
      </c>
      <c r="B56" t="s">
        <v>79</v>
      </c>
      <c r="C56" t="s">
        <v>54</v>
      </c>
      <c r="D56" t="s">
        <v>91</v>
      </c>
      <c r="E56">
        <v>24</v>
      </c>
    </row>
    <row r="57" spans="1:5" x14ac:dyDescent="0.3">
      <c r="A57">
        <v>64906</v>
      </c>
      <c r="B57" t="s">
        <v>92</v>
      </c>
      <c r="C57" t="s">
        <v>54</v>
      </c>
      <c r="D57" t="s">
        <v>93</v>
      </c>
      <c r="E57">
        <v>6</v>
      </c>
    </row>
    <row r="58" spans="1:5" x14ac:dyDescent="0.3">
      <c r="A58" s="3">
        <v>12813</v>
      </c>
      <c r="B58" t="s">
        <v>92</v>
      </c>
      <c r="C58" t="s">
        <v>54</v>
      </c>
      <c r="D58" t="s">
        <v>94</v>
      </c>
      <c r="E58">
        <v>24</v>
      </c>
    </row>
    <row r="59" spans="1:5" x14ac:dyDescent="0.3">
      <c r="A59">
        <v>20255</v>
      </c>
      <c r="B59" t="s">
        <v>92</v>
      </c>
      <c r="C59" t="s">
        <v>54</v>
      </c>
      <c r="D59" t="s">
        <v>95</v>
      </c>
      <c r="E59">
        <v>24</v>
      </c>
    </row>
    <row r="60" spans="1:5" x14ac:dyDescent="0.3">
      <c r="A60">
        <v>24114</v>
      </c>
      <c r="B60" t="s">
        <v>92</v>
      </c>
      <c r="C60" t="s">
        <v>54</v>
      </c>
      <c r="D60" t="s">
        <v>96</v>
      </c>
      <c r="E60">
        <v>24</v>
      </c>
    </row>
    <row r="61" spans="1:5" x14ac:dyDescent="0.3">
      <c r="A61">
        <v>33783</v>
      </c>
      <c r="B61" t="s">
        <v>92</v>
      </c>
      <c r="C61" t="s">
        <v>54</v>
      </c>
      <c r="D61" t="s">
        <v>97</v>
      </c>
      <c r="E61">
        <v>24</v>
      </c>
    </row>
    <row r="62" spans="1:5" x14ac:dyDescent="0.3">
      <c r="A62">
        <v>48822</v>
      </c>
      <c r="B62" t="s">
        <v>92</v>
      </c>
      <c r="C62" t="s">
        <v>54</v>
      </c>
      <c r="D62" t="s">
        <v>98</v>
      </c>
      <c r="E62">
        <v>24</v>
      </c>
    </row>
    <row r="63" spans="1:5" x14ac:dyDescent="0.3">
      <c r="A63">
        <v>69451</v>
      </c>
      <c r="B63" t="s">
        <v>99</v>
      </c>
      <c r="C63" t="s">
        <v>100</v>
      </c>
      <c r="D63" t="s">
        <v>101</v>
      </c>
      <c r="E63">
        <v>6</v>
      </c>
    </row>
    <row r="64" spans="1:5" x14ac:dyDescent="0.3">
      <c r="A64">
        <v>55272</v>
      </c>
      <c r="B64" t="s">
        <v>99</v>
      </c>
      <c r="C64" t="s">
        <v>100</v>
      </c>
      <c r="D64" t="s">
        <v>102</v>
      </c>
      <c r="E64">
        <v>6</v>
      </c>
    </row>
    <row r="65" spans="1:5" x14ac:dyDescent="0.3">
      <c r="A65">
        <v>56662</v>
      </c>
      <c r="B65" t="s">
        <v>99</v>
      </c>
      <c r="C65" t="s">
        <v>100</v>
      </c>
      <c r="D65" t="s">
        <v>103</v>
      </c>
      <c r="E65">
        <v>12</v>
      </c>
    </row>
    <row r="66" spans="1:5" x14ac:dyDescent="0.3">
      <c r="A66">
        <v>35257</v>
      </c>
      <c r="B66" t="s">
        <v>99</v>
      </c>
      <c r="C66" t="s">
        <v>100</v>
      </c>
      <c r="D66" t="s">
        <v>104</v>
      </c>
      <c r="E66">
        <v>12</v>
      </c>
    </row>
    <row r="67" spans="1:5" x14ac:dyDescent="0.3">
      <c r="A67">
        <v>35199</v>
      </c>
      <c r="B67" t="s">
        <v>99</v>
      </c>
      <c r="C67" t="s">
        <v>100</v>
      </c>
      <c r="D67" t="s">
        <v>105</v>
      </c>
      <c r="E67">
        <v>12</v>
      </c>
    </row>
    <row r="68" spans="1:5" x14ac:dyDescent="0.3">
      <c r="A68">
        <v>69117</v>
      </c>
      <c r="B68" t="s">
        <v>99</v>
      </c>
      <c r="C68" t="s">
        <v>100</v>
      </c>
      <c r="D68" t="s">
        <v>106</v>
      </c>
      <c r="E68">
        <v>6</v>
      </c>
    </row>
    <row r="69" spans="1:5" x14ac:dyDescent="0.3">
      <c r="A69">
        <v>42817</v>
      </c>
      <c r="B69" t="s">
        <v>99</v>
      </c>
      <c r="C69" t="s">
        <v>100</v>
      </c>
      <c r="D69" t="s">
        <v>107</v>
      </c>
      <c r="E69">
        <v>6</v>
      </c>
    </row>
    <row r="70" spans="1:5" x14ac:dyDescent="0.3">
      <c r="A70">
        <v>37272</v>
      </c>
      <c r="B70" t="s">
        <v>99</v>
      </c>
      <c r="C70" t="s">
        <v>100</v>
      </c>
      <c r="D70" t="s">
        <v>108</v>
      </c>
      <c r="E70">
        <v>6</v>
      </c>
    </row>
    <row r="71" spans="1:5" x14ac:dyDescent="0.3">
      <c r="A71">
        <v>35342</v>
      </c>
      <c r="B71" t="s">
        <v>99</v>
      </c>
      <c r="C71" t="s">
        <v>100</v>
      </c>
      <c r="D71" t="s">
        <v>109</v>
      </c>
      <c r="E71">
        <v>12</v>
      </c>
    </row>
    <row r="72" spans="1:5" x14ac:dyDescent="0.3">
      <c r="A72">
        <v>55624</v>
      </c>
      <c r="B72" t="s">
        <v>99</v>
      </c>
      <c r="C72" t="s">
        <v>100</v>
      </c>
      <c r="D72" t="s">
        <v>110</v>
      </c>
      <c r="E72">
        <v>6</v>
      </c>
    </row>
    <row r="73" spans="1:5" x14ac:dyDescent="0.3">
      <c r="A73">
        <v>58826</v>
      </c>
      <c r="B73" t="s">
        <v>111</v>
      </c>
      <c r="C73" t="s">
        <v>100</v>
      </c>
      <c r="D73" t="s">
        <v>112</v>
      </c>
      <c r="E73">
        <v>12</v>
      </c>
    </row>
    <row r="74" spans="1:5" x14ac:dyDescent="0.3">
      <c r="A74">
        <v>30787</v>
      </c>
      <c r="B74" t="s">
        <v>111</v>
      </c>
      <c r="C74" t="s">
        <v>100</v>
      </c>
      <c r="D74" t="s">
        <v>113</v>
      </c>
      <c r="E74">
        <v>12</v>
      </c>
    </row>
    <row r="75" spans="1:5" x14ac:dyDescent="0.3">
      <c r="A75">
        <v>35541</v>
      </c>
      <c r="B75" t="s">
        <v>114</v>
      </c>
      <c r="C75" t="s">
        <v>100</v>
      </c>
      <c r="D75" t="s">
        <v>115</v>
      </c>
      <c r="E75">
        <v>6</v>
      </c>
    </row>
    <row r="76" spans="1:5" x14ac:dyDescent="0.3">
      <c r="A76">
        <v>64873</v>
      </c>
      <c r="B76" t="s">
        <v>114</v>
      </c>
      <c r="C76" t="s">
        <v>100</v>
      </c>
      <c r="D76" t="s">
        <v>116</v>
      </c>
      <c r="E76">
        <v>6</v>
      </c>
    </row>
    <row r="77" spans="1:5" x14ac:dyDescent="0.3">
      <c r="A77">
        <v>37350</v>
      </c>
      <c r="B77" t="s">
        <v>114</v>
      </c>
      <c r="C77" t="s">
        <v>100</v>
      </c>
      <c r="D77" t="s">
        <v>117</v>
      </c>
      <c r="E77">
        <v>6</v>
      </c>
    </row>
    <row r="78" spans="1:5" x14ac:dyDescent="0.3">
      <c r="A78">
        <v>51559</v>
      </c>
      <c r="B78" t="s">
        <v>118</v>
      </c>
      <c r="C78" t="s">
        <v>100</v>
      </c>
      <c r="D78" t="s">
        <v>119</v>
      </c>
      <c r="E78">
        <v>12</v>
      </c>
    </row>
    <row r="79" spans="1:5" x14ac:dyDescent="0.3">
      <c r="A79">
        <v>36883</v>
      </c>
      <c r="B79" t="s">
        <v>118</v>
      </c>
      <c r="C79" t="s">
        <v>100</v>
      </c>
      <c r="D79" t="s">
        <v>120</v>
      </c>
      <c r="E79">
        <v>6</v>
      </c>
    </row>
    <row r="80" spans="1:5" x14ac:dyDescent="0.3">
      <c r="A80">
        <v>63102</v>
      </c>
      <c r="B80" t="s">
        <v>118</v>
      </c>
      <c r="C80" t="s">
        <v>100</v>
      </c>
      <c r="D80" t="s">
        <v>121</v>
      </c>
      <c r="E80">
        <v>6</v>
      </c>
    </row>
    <row r="81" spans="1:5" x14ac:dyDescent="0.3">
      <c r="A81">
        <v>23103</v>
      </c>
      <c r="B81" t="s">
        <v>118</v>
      </c>
      <c r="C81" t="s">
        <v>100</v>
      </c>
      <c r="D81" t="s">
        <v>122</v>
      </c>
      <c r="E81">
        <v>12</v>
      </c>
    </row>
    <row r="82" spans="1:5" x14ac:dyDescent="0.3">
      <c r="A82">
        <v>58604</v>
      </c>
      <c r="B82" t="s">
        <v>118</v>
      </c>
      <c r="C82" t="s">
        <v>100</v>
      </c>
      <c r="D82" t="s">
        <v>123</v>
      </c>
      <c r="E82">
        <v>6</v>
      </c>
    </row>
    <row r="83" spans="1:5" x14ac:dyDescent="0.3">
      <c r="A83">
        <v>62944</v>
      </c>
      <c r="B83" t="s">
        <v>118</v>
      </c>
      <c r="C83" t="s">
        <v>100</v>
      </c>
      <c r="D83" t="s">
        <v>124</v>
      </c>
      <c r="E83">
        <v>6</v>
      </c>
    </row>
    <row r="84" spans="1:5" x14ac:dyDescent="0.3">
      <c r="A84">
        <v>67349</v>
      </c>
      <c r="B84" t="s">
        <v>118</v>
      </c>
      <c r="C84" t="s">
        <v>100</v>
      </c>
      <c r="D84" t="s">
        <v>125</v>
      </c>
      <c r="E84">
        <v>6</v>
      </c>
    </row>
    <row r="85" spans="1:5" x14ac:dyDescent="0.3">
      <c r="A85">
        <v>56309</v>
      </c>
      <c r="B85" t="s">
        <v>118</v>
      </c>
      <c r="C85" t="s">
        <v>100</v>
      </c>
      <c r="D85" t="s">
        <v>126</v>
      </c>
      <c r="E85">
        <v>6</v>
      </c>
    </row>
    <row r="86" spans="1:5" x14ac:dyDescent="0.3">
      <c r="A86">
        <v>65226</v>
      </c>
      <c r="B86" t="s">
        <v>118</v>
      </c>
      <c r="C86" t="s">
        <v>100</v>
      </c>
      <c r="D86" t="s">
        <v>127</v>
      </c>
      <c r="E86">
        <v>6</v>
      </c>
    </row>
    <row r="87" spans="1:5" x14ac:dyDescent="0.3">
      <c r="A87">
        <v>43634</v>
      </c>
      <c r="B87" t="s">
        <v>118</v>
      </c>
      <c r="C87" t="s">
        <v>100</v>
      </c>
      <c r="D87" t="s">
        <v>128</v>
      </c>
      <c r="E87">
        <v>12</v>
      </c>
    </row>
    <row r="88" spans="1:5" x14ac:dyDescent="0.3">
      <c r="A88">
        <v>56067</v>
      </c>
      <c r="B88" t="s">
        <v>129</v>
      </c>
      <c r="C88" t="s">
        <v>100</v>
      </c>
      <c r="D88" t="s">
        <v>130</v>
      </c>
      <c r="E88">
        <v>6</v>
      </c>
    </row>
    <row r="89" spans="1:5" x14ac:dyDescent="0.3">
      <c r="A89">
        <v>63301</v>
      </c>
      <c r="B89" t="s">
        <v>129</v>
      </c>
      <c r="C89" t="s">
        <v>100</v>
      </c>
      <c r="D89" t="s">
        <v>131</v>
      </c>
      <c r="E89">
        <v>6</v>
      </c>
    </row>
    <row r="90" spans="1:5" x14ac:dyDescent="0.3">
      <c r="A90">
        <v>52415</v>
      </c>
      <c r="B90" t="s">
        <v>129</v>
      </c>
      <c r="C90" t="s">
        <v>100</v>
      </c>
      <c r="D90" t="s">
        <v>132</v>
      </c>
      <c r="E90">
        <v>12</v>
      </c>
    </row>
    <row r="91" spans="1:5" x14ac:dyDescent="0.3">
      <c r="A91">
        <v>53020</v>
      </c>
      <c r="B91" t="s">
        <v>129</v>
      </c>
      <c r="C91" t="s">
        <v>100</v>
      </c>
      <c r="D91" t="s">
        <v>133</v>
      </c>
      <c r="E91">
        <v>6</v>
      </c>
    </row>
    <row r="92" spans="1:5" x14ac:dyDescent="0.3">
      <c r="A92">
        <v>36935</v>
      </c>
      <c r="B92" t="s">
        <v>129</v>
      </c>
      <c r="C92" t="s">
        <v>100</v>
      </c>
      <c r="D92" t="s">
        <v>134</v>
      </c>
      <c r="E92">
        <v>12</v>
      </c>
    </row>
    <row r="93" spans="1:5" x14ac:dyDescent="0.3">
      <c r="A93">
        <v>20514</v>
      </c>
      <c r="B93" t="s">
        <v>135</v>
      </c>
      <c r="C93" t="s">
        <v>136</v>
      </c>
      <c r="D93" t="s">
        <v>137</v>
      </c>
      <c r="E93">
        <v>6</v>
      </c>
    </row>
    <row r="94" spans="1:5" x14ac:dyDescent="0.3">
      <c r="A94">
        <v>67317</v>
      </c>
      <c r="B94" t="s">
        <v>135</v>
      </c>
      <c r="C94" t="s">
        <v>136</v>
      </c>
      <c r="D94" t="s">
        <v>138</v>
      </c>
      <c r="E94">
        <v>6</v>
      </c>
    </row>
    <row r="95" spans="1:5" x14ac:dyDescent="0.3">
      <c r="A95">
        <v>22147</v>
      </c>
      <c r="B95" t="s">
        <v>139</v>
      </c>
      <c r="C95" t="s">
        <v>136</v>
      </c>
      <c r="D95" t="s">
        <v>140</v>
      </c>
      <c r="E95">
        <v>6</v>
      </c>
    </row>
    <row r="96" spans="1:5" x14ac:dyDescent="0.3">
      <c r="A96">
        <v>58788</v>
      </c>
      <c r="B96" t="s">
        <v>139</v>
      </c>
      <c r="C96" t="s">
        <v>136</v>
      </c>
      <c r="D96" t="s">
        <v>141</v>
      </c>
      <c r="E96">
        <v>6</v>
      </c>
    </row>
    <row r="97" spans="1:5" x14ac:dyDescent="0.3">
      <c r="A97">
        <v>186</v>
      </c>
      <c r="B97" t="s">
        <v>139</v>
      </c>
      <c r="C97" t="s">
        <v>136</v>
      </c>
      <c r="D97" t="s">
        <v>142</v>
      </c>
      <c r="E97">
        <v>6</v>
      </c>
    </row>
    <row r="98" spans="1:5" x14ac:dyDescent="0.3">
      <c r="A98">
        <v>37152</v>
      </c>
      <c r="B98" t="s">
        <v>139</v>
      </c>
      <c r="C98" t="s">
        <v>136</v>
      </c>
      <c r="D98" t="s">
        <v>143</v>
      </c>
      <c r="E98">
        <v>6</v>
      </c>
    </row>
    <row r="99" spans="1:5" x14ac:dyDescent="0.3">
      <c r="A99">
        <v>43699</v>
      </c>
      <c r="B99" t="s">
        <v>139</v>
      </c>
      <c r="C99" t="s">
        <v>136</v>
      </c>
      <c r="D99" t="s">
        <v>144</v>
      </c>
      <c r="E99">
        <v>6</v>
      </c>
    </row>
    <row r="100" spans="1:5" x14ac:dyDescent="0.3">
      <c r="A100">
        <v>20535</v>
      </c>
      <c r="B100" t="s">
        <v>139</v>
      </c>
      <c r="C100" t="s">
        <v>136</v>
      </c>
      <c r="D100" t="s">
        <v>145</v>
      </c>
      <c r="E100">
        <v>6</v>
      </c>
    </row>
    <row r="101" spans="1:5" x14ac:dyDescent="0.3">
      <c r="A101">
        <v>51561</v>
      </c>
      <c r="B101" t="s">
        <v>139</v>
      </c>
      <c r="C101" t="s">
        <v>136</v>
      </c>
      <c r="D101" t="s">
        <v>146</v>
      </c>
      <c r="E101">
        <v>12</v>
      </c>
    </row>
    <row r="102" spans="1:5" x14ac:dyDescent="0.3">
      <c r="A102">
        <v>63299</v>
      </c>
      <c r="B102" t="s">
        <v>147</v>
      </c>
      <c r="C102" t="s">
        <v>136</v>
      </c>
      <c r="D102" t="s">
        <v>148</v>
      </c>
      <c r="E102">
        <v>6</v>
      </c>
    </row>
    <row r="103" spans="1:5" x14ac:dyDescent="0.3">
      <c r="A103">
        <v>60404</v>
      </c>
      <c r="B103" t="s">
        <v>147</v>
      </c>
      <c r="C103" t="s">
        <v>136</v>
      </c>
      <c r="D103" t="s">
        <v>149</v>
      </c>
      <c r="E103">
        <v>6</v>
      </c>
    </row>
    <row r="104" spans="1:5" x14ac:dyDescent="0.3">
      <c r="A104">
        <v>50514</v>
      </c>
      <c r="B104" t="s">
        <v>147</v>
      </c>
      <c r="C104" t="s">
        <v>136</v>
      </c>
      <c r="D104" t="s">
        <v>150</v>
      </c>
      <c r="E104">
        <v>6</v>
      </c>
    </row>
    <row r="105" spans="1:5" x14ac:dyDescent="0.3">
      <c r="A105">
        <v>46889</v>
      </c>
      <c r="B105" t="s">
        <v>147</v>
      </c>
      <c r="C105" t="s">
        <v>136</v>
      </c>
      <c r="D105" t="s">
        <v>151</v>
      </c>
      <c r="E105">
        <v>6</v>
      </c>
    </row>
    <row r="106" spans="1:5" x14ac:dyDescent="0.3">
      <c r="A106">
        <v>54488</v>
      </c>
      <c r="B106" t="s">
        <v>147</v>
      </c>
      <c r="C106" t="s">
        <v>136</v>
      </c>
      <c r="D106" t="s">
        <v>152</v>
      </c>
      <c r="E106">
        <v>6</v>
      </c>
    </row>
    <row r="107" spans="1:5" x14ac:dyDescent="0.3">
      <c r="A107">
        <v>54489</v>
      </c>
      <c r="B107" t="s">
        <v>147</v>
      </c>
      <c r="C107" t="s">
        <v>136</v>
      </c>
      <c r="D107" t="s">
        <v>153</v>
      </c>
      <c r="E107">
        <v>6</v>
      </c>
    </row>
    <row r="108" spans="1:5" x14ac:dyDescent="0.3">
      <c r="A108">
        <v>46217</v>
      </c>
      <c r="B108" t="s">
        <v>147</v>
      </c>
      <c r="C108" t="s">
        <v>136</v>
      </c>
      <c r="D108" t="s">
        <v>154</v>
      </c>
      <c r="E108">
        <v>12</v>
      </c>
    </row>
    <row r="109" spans="1:5" x14ac:dyDescent="0.3">
      <c r="A109">
        <v>90</v>
      </c>
      <c r="B109" t="s">
        <v>155</v>
      </c>
      <c r="C109" t="s">
        <v>156</v>
      </c>
      <c r="D109" t="s">
        <v>157</v>
      </c>
      <c r="E109">
        <v>6</v>
      </c>
    </row>
    <row r="110" spans="1:5" x14ac:dyDescent="0.3">
      <c r="A110">
        <v>45247</v>
      </c>
      <c r="B110" t="s">
        <v>158</v>
      </c>
      <c r="C110" t="s">
        <v>156</v>
      </c>
      <c r="D110" t="s">
        <v>159</v>
      </c>
      <c r="E110">
        <v>6</v>
      </c>
    </row>
    <row r="111" spans="1:5" x14ac:dyDescent="0.3">
      <c r="A111">
        <v>16</v>
      </c>
      <c r="B111" t="s">
        <v>158</v>
      </c>
      <c r="C111" t="s">
        <v>156</v>
      </c>
      <c r="D111" t="s">
        <v>160</v>
      </c>
      <c r="E111">
        <v>6</v>
      </c>
    </row>
    <row r="112" spans="1:5" x14ac:dyDescent="0.3">
      <c r="A112" s="3">
        <v>13235</v>
      </c>
      <c r="B112" t="s">
        <v>158</v>
      </c>
      <c r="C112" t="s">
        <v>156</v>
      </c>
      <c r="D112" t="s">
        <v>161</v>
      </c>
      <c r="E112">
        <v>6</v>
      </c>
    </row>
    <row r="113" spans="1:5" x14ac:dyDescent="0.3">
      <c r="A113">
        <v>16264</v>
      </c>
      <c r="B113" t="s">
        <v>158</v>
      </c>
      <c r="C113" t="s">
        <v>156</v>
      </c>
      <c r="D113" t="s">
        <v>162</v>
      </c>
      <c r="E113">
        <v>6</v>
      </c>
    </row>
    <row r="114" spans="1:5" x14ac:dyDescent="0.3">
      <c r="A114">
        <v>45248</v>
      </c>
      <c r="B114" t="s">
        <v>158</v>
      </c>
      <c r="C114" t="s">
        <v>156</v>
      </c>
      <c r="D114" t="s">
        <v>163</v>
      </c>
      <c r="E114">
        <v>6</v>
      </c>
    </row>
    <row r="115" spans="1:5" x14ac:dyDescent="0.3">
      <c r="A115">
        <v>33975</v>
      </c>
      <c r="B115" t="s">
        <v>158</v>
      </c>
      <c r="C115" t="s">
        <v>156</v>
      </c>
      <c r="D115" t="s">
        <v>164</v>
      </c>
      <c r="E115">
        <v>6</v>
      </c>
    </row>
    <row r="116" spans="1:5" x14ac:dyDescent="0.3">
      <c r="A116">
        <v>42446</v>
      </c>
      <c r="B116" t="s">
        <v>158</v>
      </c>
      <c r="C116" t="s">
        <v>156</v>
      </c>
      <c r="D116" t="s">
        <v>165</v>
      </c>
      <c r="E116">
        <v>6</v>
      </c>
    </row>
    <row r="117" spans="1:5" x14ac:dyDescent="0.3">
      <c r="A117">
        <v>9</v>
      </c>
      <c r="B117" t="s">
        <v>166</v>
      </c>
      <c r="C117" t="s">
        <v>156</v>
      </c>
      <c r="D117" t="s">
        <v>167</v>
      </c>
      <c r="E117">
        <v>6</v>
      </c>
    </row>
    <row r="118" spans="1:5" x14ac:dyDescent="0.3">
      <c r="A118">
        <v>436</v>
      </c>
      <c r="B118" t="s">
        <v>166</v>
      </c>
      <c r="C118" t="s">
        <v>156</v>
      </c>
      <c r="D118" t="s">
        <v>168</v>
      </c>
      <c r="E118">
        <v>6</v>
      </c>
    </row>
    <row r="119" spans="1:5" x14ac:dyDescent="0.3">
      <c r="A119">
        <v>53</v>
      </c>
      <c r="B119" t="s">
        <v>166</v>
      </c>
      <c r="C119" t="s">
        <v>156</v>
      </c>
      <c r="D119" t="s">
        <v>169</v>
      </c>
      <c r="E119">
        <v>6</v>
      </c>
    </row>
    <row r="120" spans="1:5" x14ac:dyDescent="0.3">
      <c r="A120">
        <v>474</v>
      </c>
      <c r="B120" t="s">
        <v>166</v>
      </c>
      <c r="C120" t="s">
        <v>156</v>
      </c>
      <c r="D120" t="s">
        <v>170</v>
      </c>
      <c r="E120">
        <v>6</v>
      </c>
    </row>
    <row r="121" spans="1:5" x14ac:dyDescent="0.3">
      <c r="A121">
        <v>37124</v>
      </c>
      <c r="B121" t="s">
        <v>171</v>
      </c>
      <c r="C121" t="s">
        <v>156</v>
      </c>
      <c r="D121" t="s">
        <v>172</v>
      </c>
      <c r="E121">
        <v>6</v>
      </c>
    </row>
    <row r="122" spans="1:5" x14ac:dyDescent="0.3">
      <c r="A122">
        <v>13247</v>
      </c>
      <c r="B122" t="s">
        <v>171</v>
      </c>
      <c r="C122" t="s">
        <v>156</v>
      </c>
      <c r="D122" t="s">
        <v>173</v>
      </c>
      <c r="E122">
        <v>6</v>
      </c>
    </row>
    <row r="123" spans="1:5" x14ac:dyDescent="0.3">
      <c r="A123">
        <v>34680</v>
      </c>
      <c r="B123" t="s">
        <v>171</v>
      </c>
      <c r="C123" t="s">
        <v>156</v>
      </c>
      <c r="D123" t="s">
        <v>174</v>
      </c>
      <c r="E123">
        <v>6</v>
      </c>
    </row>
    <row r="124" spans="1:5" x14ac:dyDescent="0.3">
      <c r="A124">
        <v>53292</v>
      </c>
      <c r="B124" t="s">
        <v>171</v>
      </c>
      <c r="C124" t="s">
        <v>156</v>
      </c>
      <c r="D124" t="s">
        <v>175</v>
      </c>
      <c r="E124">
        <v>6</v>
      </c>
    </row>
    <row r="125" spans="1:5" x14ac:dyDescent="0.3">
      <c r="A125">
        <v>30</v>
      </c>
      <c r="B125" t="s">
        <v>171</v>
      </c>
      <c r="C125" t="s">
        <v>156</v>
      </c>
      <c r="D125" t="s">
        <v>176</v>
      </c>
      <c r="E125">
        <v>6</v>
      </c>
    </row>
    <row r="126" spans="1:5" x14ac:dyDescent="0.3">
      <c r="A126">
        <v>58071</v>
      </c>
      <c r="B126" t="s">
        <v>171</v>
      </c>
      <c r="C126" t="s">
        <v>156</v>
      </c>
      <c r="D126" t="s">
        <v>177</v>
      </c>
      <c r="E126">
        <v>6</v>
      </c>
    </row>
    <row r="127" spans="1:5" x14ac:dyDescent="0.3">
      <c r="A127">
        <v>32483</v>
      </c>
      <c r="B127" t="s">
        <v>178</v>
      </c>
      <c r="C127" t="s">
        <v>156</v>
      </c>
      <c r="D127" t="s">
        <v>179</v>
      </c>
      <c r="E127">
        <v>6</v>
      </c>
    </row>
    <row r="128" spans="1:5" x14ac:dyDescent="0.3">
      <c r="A128">
        <v>17906</v>
      </c>
      <c r="B128" t="s">
        <v>178</v>
      </c>
      <c r="C128" t="s">
        <v>156</v>
      </c>
      <c r="D128" t="s">
        <v>180</v>
      </c>
      <c r="E128">
        <v>6</v>
      </c>
    </row>
    <row r="129" spans="1:5" x14ac:dyDescent="0.3">
      <c r="A129">
        <v>19603</v>
      </c>
      <c r="B129" t="s">
        <v>178</v>
      </c>
      <c r="C129" t="s">
        <v>156</v>
      </c>
      <c r="D129" t="s">
        <v>181</v>
      </c>
      <c r="E129">
        <v>6</v>
      </c>
    </row>
    <row r="130" spans="1:5" x14ac:dyDescent="0.3">
      <c r="A130">
        <v>34091</v>
      </c>
      <c r="B130" t="s">
        <v>178</v>
      </c>
      <c r="C130" t="s">
        <v>156</v>
      </c>
      <c r="D130" t="s">
        <v>182</v>
      </c>
      <c r="E130">
        <v>6</v>
      </c>
    </row>
    <row r="131" spans="1:5" x14ac:dyDescent="0.3">
      <c r="A131">
        <v>58444</v>
      </c>
      <c r="B131" t="s">
        <v>178</v>
      </c>
      <c r="C131" t="s">
        <v>156</v>
      </c>
      <c r="D131" t="s">
        <v>183</v>
      </c>
      <c r="E131">
        <v>6</v>
      </c>
    </row>
    <row r="132" spans="1:5" x14ac:dyDescent="0.3">
      <c r="A132">
        <v>15979</v>
      </c>
      <c r="B132" t="s">
        <v>178</v>
      </c>
      <c r="C132" t="s">
        <v>156</v>
      </c>
      <c r="D132" t="s">
        <v>184</v>
      </c>
      <c r="E132">
        <v>6</v>
      </c>
    </row>
    <row r="133" spans="1:5" x14ac:dyDescent="0.3">
      <c r="A133">
        <v>54494</v>
      </c>
      <c r="B133" t="s">
        <v>178</v>
      </c>
      <c r="C133" t="s">
        <v>156</v>
      </c>
      <c r="D133" t="s">
        <v>185</v>
      </c>
      <c r="E133">
        <v>6</v>
      </c>
    </row>
    <row r="134" spans="1:5" x14ac:dyDescent="0.3">
      <c r="A134">
        <v>39143</v>
      </c>
      <c r="B134" t="s">
        <v>178</v>
      </c>
      <c r="C134" t="s">
        <v>156</v>
      </c>
      <c r="D134" t="s">
        <v>186</v>
      </c>
      <c r="E134">
        <v>6</v>
      </c>
    </row>
    <row r="135" spans="1:5" x14ac:dyDescent="0.3">
      <c r="A135">
        <v>66</v>
      </c>
      <c r="B135" t="s">
        <v>178</v>
      </c>
      <c r="C135" t="s">
        <v>156</v>
      </c>
      <c r="D135" t="s">
        <v>187</v>
      </c>
      <c r="E135">
        <v>6</v>
      </c>
    </row>
    <row r="136" spans="1:5" x14ac:dyDescent="0.3">
      <c r="A136">
        <v>286</v>
      </c>
      <c r="B136" t="s">
        <v>178</v>
      </c>
      <c r="C136" t="s">
        <v>156</v>
      </c>
      <c r="D136" t="s">
        <v>188</v>
      </c>
      <c r="E136">
        <v>6</v>
      </c>
    </row>
    <row r="137" spans="1:5" x14ac:dyDescent="0.3">
      <c r="A137">
        <v>43490</v>
      </c>
      <c r="B137" t="s">
        <v>178</v>
      </c>
      <c r="C137" t="s">
        <v>156</v>
      </c>
      <c r="D137" t="s">
        <v>189</v>
      </c>
      <c r="E137">
        <v>6</v>
      </c>
    </row>
    <row r="138" spans="1:5" x14ac:dyDescent="0.3">
      <c r="A138">
        <v>18100</v>
      </c>
      <c r="B138" t="s">
        <v>178</v>
      </c>
      <c r="C138" t="s">
        <v>156</v>
      </c>
      <c r="D138" t="s">
        <v>190</v>
      </c>
      <c r="E138">
        <v>6</v>
      </c>
    </row>
    <row r="139" spans="1:5" x14ac:dyDescent="0.3">
      <c r="A139">
        <v>49768</v>
      </c>
      <c r="B139" t="s">
        <v>178</v>
      </c>
      <c r="C139" t="s">
        <v>156</v>
      </c>
      <c r="D139" t="s">
        <v>191</v>
      </c>
      <c r="E139">
        <v>6</v>
      </c>
    </row>
    <row r="140" spans="1:5" x14ac:dyDescent="0.3">
      <c r="A140">
        <v>503</v>
      </c>
      <c r="B140" t="s">
        <v>178</v>
      </c>
      <c r="C140" t="s">
        <v>156</v>
      </c>
      <c r="D140" t="s">
        <v>192</v>
      </c>
      <c r="E140">
        <v>6</v>
      </c>
    </row>
    <row r="141" spans="1:5" x14ac:dyDescent="0.3">
      <c r="A141">
        <v>18102</v>
      </c>
      <c r="B141" t="s">
        <v>178</v>
      </c>
      <c r="C141" t="s">
        <v>156</v>
      </c>
      <c r="D141" t="s">
        <v>193</v>
      </c>
      <c r="E141">
        <v>6</v>
      </c>
    </row>
    <row r="142" spans="1:5" x14ac:dyDescent="0.3">
      <c r="A142">
        <v>22780</v>
      </c>
      <c r="B142" t="s">
        <v>194</v>
      </c>
      <c r="C142" t="s">
        <v>156</v>
      </c>
      <c r="D142" t="s">
        <v>195</v>
      </c>
      <c r="E142">
        <v>6</v>
      </c>
    </row>
    <row r="143" spans="1:5" x14ac:dyDescent="0.3">
      <c r="A143">
        <v>22426</v>
      </c>
      <c r="B143" t="s">
        <v>196</v>
      </c>
      <c r="C143" t="s">
        <v>156</v>
      </c>
      <c r="D143" t="s">
        <v>197</v>
      </c>
      <c r="E143">
        <v>6</v>
      </c>
    </row>
    <row r="144" spans="1:5" x14ac:dyDescent="0.3">
      <c r="A144">
        <v>33353</v>
      </c>
      <c r="B144" t="s">
        <v>198</v>
      </c>
      <c r="C144" t="s">
        <v>156</v>
      </c>
      <c r="D144" t="s">
        <v>199</v>
      </c>
      <c r="E144">
        <v>6</v>
      </c>
    </row>
    <row r="145" spans="1:5" x14ac:dyDescent="0.3">
      <c r="A145">
        <v>18101</v>
      </c>
      <c r="B145" t="s">
        <v>198</v>
      </c>
      <c r="C145" t="s">
        <v>156</v>
      </c>
      <c r="D145" t="s">
        <v>200</v>
      </c>
      <c r="E145">
        <v>6</v>
      </c>
    </row>
    <row r="146" spans="1:5" x14ac:dyDescent="0.3">
      <c r="A146">
        <v>16270</v>
      </c>
      <c r="B146" t="s">
        <v>198</v>
      </c>
      <c r="C146" t="s">
        <v>156</v>
      </c>
      <c r="D146" t="s">
        <v>201</v>
      </c>
      <c r="E146">
        <v>12</v>
      </c>
    </row>
    <row r="147" spans="1:5" x14ac:dyDescent="0.3">
      <c r="A147">
        <v>399</v>
      </c>
      <c r="B147" t="s">
        <v>198</v>
      </c>
      <c r="C147" t="s">
        <v>156</v>
      </c>
      <c r="D147" t="s">
        <v>202</v>
      </c>
      <c r="E147">
        <v>6</v>
      </c>
    </row>
    <row r="148" spans="1:5" x14ac:dyDescent="0.3">
      <c r="A148">
        <v>38167</v>
      </c>
      <c r="B148" t="s">
        <v>198</v>
      </c>
      <c r="C148" t="s">
        <v>156</v>
      </c>
      <c r="D148" t="s">
        <v>203</v>
      </c>
      <c r="E148">
        <v>6</v>
      </c>
    </row>
    <row r="149" spans="1:5" x14ac:dyDescent="0.3">
      <c r="A149">
        <v>46286</v>
      </c>
      <c r="B149" t="s">
        <v>198</v>
      </c>
      <c r="C149" t="s">
        <v>156</v>
      </c>
      <c r="D149" t="s">
        <v>204</v>
      </c>
      <c r="E149">
        <v>6</v>
      </c>
    </row>
    <row r="150" spans="1:5" x14ac:dyDescent="0.3">
      <c r="A150">
        <v>35071</v>
      </c>
      <c r="B150" t="s">
        <v>205</v>
      </c>
      <c r="C150" t="s">
        <v>156</v>
      </c>
      <c r="D150" t="s">
        <v>206</v>
      </c>
      <c r="E150">
        <v>6</v>
      </c>
    </row>
    <row r="151" spans="1:5" x14ac:dyDescent="0.3">
      <c r="A151">
        <v>52397</v>
      </c>
      <c r="B151" t="s">
        <v>205</v>
      </c>
      <c r="C151" t="s">
        <v>156</v>
      </c>
      <c r="D151" t="s">
        <v>207</v>
      </c>
      <c r="E151">
        <v>6</v>
      </c>
    </row>
    <row r="152" spans="1:5" x14ac:dyDescent="0.3">
      <c r="A152">
        <v>41789</v>
      </c>
      <c r="B152" t="s">
        <v>205</v>
      </c>
      <c r="C152" t="s">
        <v>156</v>
      </c>
      <c r="D152" t="s">
        <v>208</v>
      </c>
      <c r="E152">
        <v>6</v>
      </c>
    </row>
    <row r="153" spans="1:5" x14ac:dyDescent="0.3">
      <c r="A153">
        <v>32398</v>
      </c>
      <c r="B153" t="s">
        <v>205</v>
      </c>
      <c r="C153" t="s">
        <v>156</v>
      </c>
      <c r="D153" t="s">
        <v>209</v>
      </c>
      <c r="E153">
        <v>12</v>
      </c>
    </row>
    <row r="154" spans="1:5" x14ac:dyDescent="0.3">
      <c r="A154">
        <v>32094</v>
      </c>
      <c r="B154" t="s">
        <v>210</v>
      </c>
      <c r="C154" t="s">
        <v>156</v>
      </c>
      <c r="D154" t="s">
        <v>211</v>
      </c>
      <c r="E154">
        <v>6</v>
      </c>
    </row>
    <row r="155" spans="1:5" x14ac:dyDescent="0.3">
      <c r="A155">
        <v>22901</v>
      </c>
      <c r="B155" t="s">
        <v>210</v>
      </c>
      <c r="C155" t="s">
        <v>156</v>
      </c>
      <c r="D155" t="s">
        <v>212</v>
      </c>
      <c r="E155">
        <v>6</v>
      </c>
    </row>
    <row r="156" spans="1:5" x14ac:dyDescent="0.3">
      <c r="A156">
        <v>53294</v>
      </c>
      <c r="B156" t="s">
        <v>210</v>
      </c>
      <c r="C156" t="s">
        <v>156</v>
      </c>
      <c r="D156" t="s">
        <v>213</v>
      </c>
      <c r="E156">
        <v>6</v>
      </c>
    </row>
    <row r="157" spans="1:5" x14ac:dyDescent="0.3">
      <c r="A157">
        <v>39034</v>
      </c>
      <c r="B157" t="s">
        <v>210</v>
      </c>
      <c r="C157" t="s">
        <v>156</v>
      </c>
      <c r="D157" t="s">
        <v>214</v>
      </c>
      <c r="E157">
        <v>6</v>
      </c>
    </row>
    <row r="158" spans="1:5" x14ac:dyDescent="0.3">
      <c r="A158">
        <v>53307</v>
      </c>
      <c r="B158" t="s">
        <v>215</v>
      </c>
      <c r="C158" t="s">
        <v>156</v>
      </c>
      <c r="D158" t="s">
        <v>216</v>
      </c>
      <c r="E158">
        <v>6</v>
      </c>
    </row>
    <row r="159" spans="1:5" x14ac:dyDescent="0.3">
      <c r="A159">
        <v>16960</v>
      </c>
      <c r="B159" t="s">
        <v>215</v>
      </c>
      <c r="C159" t="s">
        <v>156</v>
      </c>
      <c r="D159" t="s">
        <v>217</v>
      </c>
      <c r="E159">
        <v>6</v>
      </c>
    </row>
    <row r="160" spans="1:5" x14ac:dyDescent="0.3">
      <c r="A160">
        <v>22627</v>
      </c>
      <c r="B160" t="s">
        <v>215</v>
      </c>
      <c r="C160" t="s">
        <v>156</v>
      </c>
      <c r="D160" t="s">
        <v>218</v>
      </c>
      <c r="E160">
        <v>6</v>
      </c>
    </row>
    <row r="161" spans="1:5" x14ac:dyDescent="0.3">
      <c r="A161" s="3">
        <v>116290</v>
      </c>
      <c r="B161" t="s">
        <v>215</v>
      </c>
      <c r="C161" t="s">
        <v>156</v>
      </c>
      <c r="D161" t="s">
        <v>219</v>
      </c>
      <c r="E161">
        <v>6</v>
      </c>
    </row>
    <row r="162" spans="1:5" x14ac:dyDescent="0.3">
      <c r="A162">
        <v>15866</v>
      </c>
      <c r="B162" t="s">
        <v>215</v>
      </c>
      <c r="C162" t="s">
        <v>156</v>
      </c>
      <c r="D162" t="s">
        <v>220</v>
      </c>
      <c r="E162">
        <v>6</v>
      </c>
    </row>
    <row r="163" spans="1:5" x14ac:dyDescent="0.3">
      <c r="A163">
        <v>32450</v>
      </c>
      <c r="B163" t="s">
        <v>215</v>
      </c>
      <c r="C163" t="s">
        <v>156</v>
      </c>
      <c r="D163" t="s">
        <v>221</v>
      </c>
      <c r="E163">
        <v>6</v>
      </c>
    </row>
    <row r="164" spans="1:5" x14ac:dyDescent="0.3">
      <c r="A164">
        <v>17740</v>
      </c>
      <c r="B164" t="s">
        <v>215</v>
      </c>
      <c r="C164" t="s">
        <v>156</v>
      </c>
      <c r="D164" t="s">
        <v>222</v>
      </c>
      <c r="E164">
        <v>6</v>
      </c>
    </row>
    <row r="165" spans="1:5" x14ac:dyDescent="0.3">
      <c r="A165">
        <v>33</v>
      </c>
      <c r="B165" t="s">
        <v>215</v>
      </c>
      <c r="C165" t="s">
        <v>156</v>
      </c>
      <c r="D165" t="s">
        <v>223</v>
      </c>
      <c r="E165">
        <v>12</v>
      </c>
    </row>
    <row r="166" spans="1:5" x14ac:dyDescent="0.3">
      <c r="A166">
        <v>40369</v>
      </c>
      <c r="B166" t="s">
        <v>215</v>
      </c>
      <c r="C166" t="s">
        <v>156</v>
      </c>
      <c r="D166" t="s">
        <v>224</v>
      </c>
      <c r="E166">
        <v>6</v>
      </c>
    </row>
    <row r="167" spans="1:5" x14ac:dyDescent="0.3">
      <c r="A167">
        <v>13268</v>
      </c>
      <c r="B167" t="s">
        <v>215</v>
      </c>
      <c r="C167" t="s">
        <v>156</v>
      </c>
      <c r="D167" t="s">
        <v>225</v>
      </c>
      <c r="E167">
        <v>6</v>
      </c>
    </row>
    <row r="168" spans="1:5" x14ac:dyDescent="0.3">
      <c r="A168">
        <v>64469</v>
      </c>
      <c r="B168" t="s">
        <v>226</v>
      </c>
      <c r="C168" t="s">
        <v>227</v>
      </c>
      <c r="D168" t="s">
        <v>228</v>
      </c>
      <c r="E168">
        <v>6</v>
      </c>
    </row>
    <row r="169" spans="1:5" x14ac:dyDescent="0.3">
      <c r="A169">
        <v>56072</v>
      </c>
      <c r="B169" t="s">
        <v>226</v>
      </c>
      <c r="C169" t="s">
        <v>227</v>
      </c>
      <c r="D169" t="s">
        <v>229</v>
      </c>
      <c r="E169">
        <v>6</v>
      </c>
    </row>
    <row r="170" spans="1:5" x14ac:dyDescent="0.3">
      <c r="A170">
        <v>9350</v>
      </c>
      <c r="B170" t="s">
        <v>226</v>
      </c>
      <c r="C170" t="s">
        <v>227</v>
      </c>
      <c r="D170" t="s">
        <v>230</v>
      </c>
      <c r="E170">
        <v>12</v>
      </c>
    </row>
    <row r="171" spans="1:5" x14ac:dyDescent="0.3">
      <c r="A171">
        <v>56324</v>
      </c>
      <c r="B171" t="s">
        <v>226</v>
      </c>
      <c r="C171" t="s">
        <v>227</v>
      </c>
      <c r="D171" t="s">
        <v>231</v>
      </c>
      <c r="E171">
        <v>6</v>
      </c>
    </row>
    <row r="172" spans="1:5" x14ac:dyDescent="0.3">
      <c r="A172">
        <v>47825</v>
      </c>
      <c r="B172" t="s">
        <v>226</v>
      </c>
      <c r="C172" t="s">
        <v>227</v>
      </c>
      <c r="D172" t="s">
        <v>232</v>
      </c>
      <c r="E172">
        <v>6</v>
      </c>
    </row>
    <row r="173" spans="1:5" x14ac:dyDescent="0.3">
      <c r="A173">
        <v>55602</v>
      </c>
      <c r="B173" t="s">
        <v>226</v>
      </c>
      <c r="C173" t="s">
        <v>227</v>
      </c>
      <c r="D173" t="s">
        <v>233</v>
      </c>
      <c r="E173">
        <v>6</v>
      </c>
    </row>
    <row r="174" spans="1:5" x14ac:dyDescent="0.3">
      <c r="A174">
        <v>35051</v>
      </c>
      <c r="B174" t="s">
        <v>226</v>
      </c>
      <c r="C174" t="s">
        <v>227</v>
      </c>
      <c r="D174" t="s">
        <v>234</v>
      </c>
      <c r="E174">
        <v>6</v>
      </c>
    </row>
    <row r="175" spans="1:5" x14ac:dyDescent="0.3">
      <c r="A175">
        <v>35260</v>
      </c>
      <c r="B175" t="s">
        <v>226</v>
      </c>
      <c r="C175" t="s">
        <v>227</v>
      </c>
      <c r="D175" t="s">
        <v>235</v>
      </c>
      <c r="E175">
        <v>6</v>
      </c>
    </row>
    <row r="176" spans="1:5" x14ac:dyDescent="0.3">
      <c r="A176">
        <v>44485</v>
      </c>
      <c r="B176" t="s">
        <v>226</v>
      </c>
      <c r="C176" t="s">
        <v>227</v>
      </c>
      <c r="D176" t="s">
        <v>236</v>
      </c>
      <c r="E176">
        <v>6</v>
      </c>
    </row>
    <row r="177" spans="1:5" x14ac:dyDescent="0.3">
      <c r="A177">
        <v>20430</v>
      </c>
      <c r="B177" t="s">
        <v>237</v>
      </c>
      <c r="C177" t="s">
        <v>227</v>
      </c>
      <c r="D177" t="s">
        <v>238</v>
      </c>
      <c r="E177">
        <v>6</v>
      </c>
    </row>
    <row r="178" spans="1:5" x14ac:dyDescent="0.3">
      <c r="A178">
        <v>31617</v>
      </c>
      <c r="B178" t="s">
        <v>237</v>
      </c>
      <c r="C178" t="s">
        <v>227</v>
      </c>
      <c r="D178" t="s">
        <v>239</v>
      </c>
      <c r="E178">
        <v>6</v>
      </c>
    </row>
    <row r="179" spans="1:5" x14ac:dyDescent="0.3">
      <c r="A179">
        <v>67291</v>
      </c>
      <c r="B179" t="s">
        <v>240</v>
      </c>
      <c r="C179" t="s">
        <v>227</v>
      </c>
      <c r="D179" t="s">
        <v>241</v>
      </c>
      <c r="E179">
        <v>6</v>
      </c>
    </row>
    <row r="180" spans="1:5" x14ac:dyDescent="0.3">
      <c r="A180">
        <v>57711</v>
      </c>
      <c r="B180" t="s">
        <v>240</v>
      </c>
      <c r="C180" t="s">
        <v>227</v>
      </c>
      <c r="D180" t="s">
        <v>242</v>
      </c>
      <c r="E180">
        <v>12</v>
      </c>
    </row>
    <row r="181" spans="1:5" x14ac:dyDescent="0.3">
      <c r="A181">
        <v>47463</v>
      </c>
      <c r="B181" t="s">
        <v>243</v>
      </c>
      <c r="C181" t="s">
        <v>227</v>
      </c>
      <c r="D181" t="s">
        <v>244</v>
      </c>
      <c r="E181">
        <v>12</v>
      </c>
    </row>
    <row r="182" spans="1:5" x14ac:dyDescent="0.3">
      <c r="A182">
        <v>40677</v>
      </c>
      <c r="B182" t="s">
        <v>243</v>
      </c>
      <c r="C182" t="s">
        <v>227</v>
      </c>
      <c r="D182" t="s">
        <v>245</v>
      </c>
      <c r="E182">
        <v>12</v>
      </c>
    </row>
    <row r="183" spans="1:5" x14ac:dyDescent="0.3">
      <c r="A183">
        <v>58603</v>
      </c>
      <c r="B183" t="s">
        <v>243</v>
      </c>
      <c r="C183" t="s">
        <v>227</v>
      </c>
      <c r="D183" t="s">
        <v>246</v>
      </c>
      <c r="E183">
        <v>6</v>
      </c>
    </row>
    <row r="184" spans="1:5" x14ac:dyDescent="0.3">
      <c r="A184">
        <v>37396</v>
      </c>
      <c r="B184" t="s">
        <v>243</v>
      </c>
      <c r="C184" t="s">
        <v>227</v>
      </c>
      <c r="D184" t="s">
        <v>247</v>
      </c>
      <c r="E184">
        <v>6</v>
      </c>
    </row>
    <row r="185" spans="1:5" x14ac:dyDescent="0.3">
      <c r="A185">
        <v>39973</v>
      </c>
      <c r="B185" t="s">
        <v>248</v>
      </c>
      <c r="C185" t="s">
        <v>227</v>
      </c>
      <c r="D185" t="s">
        <v>249</v>
      </c>
      <c r="E185">
        <v>6</v>
      </c>
    </row>
    <row r="186" spans="1:5" x14ac:dyDescent="0.3">
      <c r="A186">
        <v>51560</v>
      </c>
      <c r="B186" t="s">
        <v>250</v>
      </c>
      <c r="C186" t="s">
        <v>227</v>
      </c>
      <c r="D186" t="s">
        <v>251</v>
      </c>
      <c r="E186">
        <v>12</v>
      </c>
    </row>
    <row r="187" spans="1:5" x14ac:dyDescent="0.3">
      <c r="A187">
        <v>37240</v>
      </c>
      <c r="B187" t="s">
        <v>250</v>
      </c>
      <c r="C187" t="s">
        <v>227</v>
      </c>
      <c r="D187" t="s">
        <v>252</v>
      </c>
      <c r="E187">
        <v>6</v>
      </c>
    </row>
    <row r="188" spans="1:5" x14ac:dyDescent="0.3">
      <c r="A188">
        <v>37125</v>
      </c>
      <c r="B188" t="s">
        <v>250</v>
      </c>
      <c r="C188" t="s">
        <v>227</v>
      </c>
      <c r="D188" t="s">
        <v>253</v>
      </c>
      <c r="E188">
        <v>6</v>
      </c>
    </row>
    <row r="189" spans="1:5" x14ac:dyDescent="0.3">
      <c r="A189">
        <v>37506</v>
      </c>
      <c r="B189" t="s">
        <v>250</v>
      </c>
      <c r="C189" t="s">
        <v>227</v>
      </c>
      <c r="D189" t="s">
        <v>254</v>
      </c>
      <c r="E189">
        <v>6</v>
      </c>
    </row>
    <row r="190" spans="1:5" x14ac:dyDescent="0.3">
      <c r="A190">
        <v>47824</v>
      </c>
      <c r="B190" t="s">
        <v>250</v>
      </c>
      <c r="C190" t="s">
        <v>227</v>
      </c>
      <c r="D190" t="s">
        <v>255</v>
      </c>
      <c r="E190">
        <v>6</v>
      </c>
    </row>
    <row r="191" spans="1:5" x14ac:dyDescent="0.3">
      <c r="A191">
        <v>36676</v>
      </c>
      <c r="B191" t="s">
        <v>250</v>
      </c>
      <c r="C191" t="s">
        <v>227</v>
      </c>
      <c r="D191" t="s">
        <v>256</v>
      </c>
      <c r="E191">
        <v>6</v>
      </c>
    </row>
    <row r="192" spans="1:5" x14ac:dyDescent="0.3">
      <c r="A192">
        <v>7197</v>
      </c>
      <c r="B192" t="s">
        <v>250</v>
      </c>
      <c r="C192" t="s">
        <v>227</v>
      </c>
      <c r="D192" t="s">
        <v>257</v>
      </c>
      <c r="E192">
        <v>12</v>
      </c>
    </row>
    <row r="193" spans="1:5" x14ac:dyDescent="0.3">
      <c r="A193">
        <v>47464</v>
      </c>
      <c r="B193" t="s">
        <v>258</v>
      </c>
      <c r="C193" t="s">
        <v>227</v>
      </c>
      <c r="D193" t="s">
        <v>259</v>
      </c>
      <c r="E193">
        <v>12</v>
      </c>
    </row>
  </sheetData>
  <sheetProtection sort="0" autoFilter="0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644C-4486-4688-941B-FC702239FE9F}">
  <dimension ref="A1:C31"/>
  <sheetViews>
    <sheetView zoomScaleNormal="150" zoomScaleSheetLayoutView="10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45.33203125" customWidth="1"/>
    <col min="2" max="2" width="14.109375" style="36" customWidth="1"/>
    <col min="3" max="3" width="8.5546875" style="36"/>
  </cols>
  <sheetData>
    <row r="1" spans="1:3" x14ac:dyDescent="0.3">
      <c r="A1" s="32" t="s">
        <v>3</v>
      </c>
      <c r="B1" s="34" t="s">
        <v>4</v>
      </c>
      <c r="C1" s="34" t="s">
        <v>267</v>
      </c>
    </row>
    <row r="2" spans="1:3" x14ac:dyDescent="0.3">
      <c r="A2" s="33" t="s">
        <v>268</v>
      </c>
      <c r="B2" s="35" t="s">
        <v>269</v>
      </c>
      <c r="C2" s="35"/>
    </row>
    <row r="3" spans="1:3" x14ac:dyDescent="0.3">
      <c r="A3" s="33" t="s">
        <v>270</v>
      </c>
      <c r="B3" s="35" t="s">
        <v>271</v>
      </c>
      <c r="C3" s="35"/>
    </row>
    <row r="4" spans="1:3" x14ac:dyDescent="0.3">
      <c r="A4" s="33" t="s">
        <v>272</v>
      </c>
      <c r="B4" s="35" t="s">
        <v>269</v>
      </c>
      <c r="C4" s="35"/>
    </row>
    <row r="5" spans="1:3" x14ac:dyDescent="0.3">
      <c r="A5" s="33" t="s">
        <v>273</v>
      </c>
      <c r="B5" s="35"/>
      <c r="C5" s="35"/>
    </row>
    <row r="6" spans="1:3" x14ac:dyDescent="0.3">
      <c r="A6" s="33" t="s">
        <v>274</v>
      </c>
      <c r="B6" s="35">
        <v>24</v>
      </c>
      <c r="C6" s="35"/>
    </row>
    <row r="7" spans="1:3" x14ac:dyDescent="0.3">
      <c r="A7" s="33" t="s">
        <v>275</v>
      </c>
      <c r="B7" s="35">
        <v>24</v>
      </c>
      <c r="C7" s="35"/>
    </row>
    <row r="8" spans="1:3" x14ac:dyDescent="0.3">
      <c r="A8" s="33" t="s">
        <v>276</v>
      </c>
      <c r="B8" s="35">
        <v>30</v>
      </c>
      <c r="C8" s="35"/>
    </row>
    <row r="9" spans="1:3" x14ac:dyDescent="0.3">
      <c r="A9" s="33" t="s">
        <v>277</v>
      </c>
      <c r="B9" s="35">
        <v>6</v>
      </c>
      <c r="C9" s="35"/>
    </row>
    <row r="10" spans="1:3" x14ac:dyDescent="0.3">
      <c r="A10" s="33" t="s">
        <v>278</v>
      </c>
      <c r="B10" s="35">
        <v>12</v>
      </c>
      <c r="C10" s="35"/>
    </row>
    <row r="11" spans="1:3" x14ac:dyDescent="0.3">
      <c r="A11" s="33"/>
      <c r="B11" s="35"/>
      <c r="C11" s="35"/>
    </row>
    <row r="12" spans="1:3" x14ac:dyDescent="0.3">
      <c r="A12" s="33"/>
      <c r="B12" s="35"/>
      <c r="C12" s="35"/>
    </row>
    <row r="13" spans="1:3" x14ac:dyDescent="0.3">
      <c r="A13" s="33"/>
      <c r="B13" s="35"/>
      <c r="C13" s="35"/>
    </row>
    <row r="14" spans="1:3" x14ac:dyDescent="0.3">
      <c r="A14" s="33"/>
      <c r="B14" s="35"/>
      <c r="C14" s="35"/>
    </row>
    <row r="15" spans="1:3" x14ac:dyDescent="0.3">
      <c r="A15" s="33"/>
      <c r="B15" s="35"/>
      <c r="C15" s="35"/>
    </row>
    <row r="16" spans="1:3" x14ac:dyDescent="0.3">
      <c r="A16" s="33"/>
      <c r="B16" s="35"/>
      <c r="C16" s="35"/>
    </row>
    <row r="17" spans="1:3" x14ac:dyDescent="0.3">
      <c r="A17" s="33"/>
      <c r="B17" s="35"/>
      <c r="C17" s="35"/>
    </row>
    <row r="18" spans="1:3" x14ac:dyDescent="0.3">
      <c r="A18" s="33"/>
      <c r="B18" s="35"/>
      <c r="C18" s="35"/>
    </row>
    <row r="19" spans="1:3" x14ac:dyDescent="0.3">
      <c r="A19" s="33"/>
      <c r="B19" s="35"/>
      <c r="C19" s="35"/>
    </row>
    <row r="20" spans="1:3" x14ac:dyDescent="0.3">
      <c r="A20" s="33"/>
      <c r="B20" s="35"/>
      <c r="C20" s="35"/>
    </row>
    <row r="21" spans="1:3" x14ac:dyDescent="0.3">
      <c r="A21" s="33"/>
      <c r="B21" s="35"/>
      <c r="C21" s="35"/>
    </row>
    <row r="22" spans="1:3" x14ac:dyDescent="0.3">
      <c r="A22" s="33"/>
      <c r="B22" s="35"/>
      <c r="C22" s="35"/>
    </row>
    <row r="23" spans="1:3" x14ac:dyDescent="0.3">
      <c r="A23" s="33"/>
      <c r="B23" s="35"/>
      <c r="C23" s="35"/>
    </row>
    <row r="24" spans="1:3" x14ac:dyDescent="0.3">
      <c r="A24" s="33"/>
      <c r="B24" s="35"/>
      <c r="C24" s="35"/>
    </row>
    <row r="25" spans="1:3" x14ac:dyDescent="0.3">
      <c r="A25" s="33"/>
      <c r="B25" s="35"/>
      <c r="C25" s="35"/>
    </row>
    <row r="26" spans="1:3" x14ac:dyDescent="0.3">
      <c r="A26" s="33"/>
      <c r="B26" s="35"/>
      <c r="C26" s="35"/>
    </row>
    <row r="27" spans="1:3" x14ac:dyDescent="0.3">
      <c r="A27" s="33"/>
      <c r="B27" s="35"/>
      <c r="C27" s="35"/>
    </row>
    <row r="28" spans="1:3" x14ac:dyDescent="0.3">
      <c r="A28" s="33"/>
      <c r="B28" s="35"/>
      <c r="C28" s="35"/>
    </row>
    <row r="29" spans="1:3" x14ac:dyDescent="0.3">
      <c r="A29" s="33"/>
      <c r="B29" s="35"/>
      <c r="C29" s="35"/>
    </row>
    <row r="30" spans="1:3" x14ac:dyDescent="0.3">
      <c r="A30" s="33"/>
      <c r="B30" s="35"/>
      <c r="C30" s="35"/>
    </row>
    <row r="31" spans="1:3" x14ac:dyDescent="0.3">
      <c r="A31" s="33"/>
      <c r="B31" s="35"/>
      <c r="C31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77A2561E51C478578C525CEBEB6D0" ma:contentTypeVersion="3" ma:contentTypeDescription="Create a new document." ma:contentTypeScope="" ma:versionID="2f57718df4ea6388e77395becb10d8d5">
  <xsd:schema xmlns:xsd="http://www.w3.org/2001/XMLSchema" xmlns:xs="http://www.w3.org/2001/XMLSchema" xmlns:p="http://schemas.microsoft.com/office/2006/metadata/properties" xmlns:ns2="759193c1-cd2b-4200-992b-45602bf75693" targetNamespace="http://schemas.microsoft.com/office/2006/metadata/properties" ma:root="true" ma:fieldsID="dcdad16d28c4763485c94878822efe76" ns2:_="">
    <xsd:import namespace="759193c1-cd2b-4200-992b-45602bf75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193c1-cd2b-4200-992b-45602bf75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81B78B-8824-4C2D-A159-8C0E1C1C9A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69C2DC4-2ED9-4B52-A64F-7130385C5C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4FCFC6-268C-461D-A43B-1E7331BA5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9193c1-cd2b-4200-992b-45602bf75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953884E-71F5-48EC-9FC1-688A0581A9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Full Stock List</vt:lpstr>
      <vt:lpstr>Juice Fridge</vt:lpstr>
      <vt:lpstr>Upper Keg</vt:lpstr>
      <vt:lpstr>Astral Bar</vt:lpstr>
      <vt:lpstr>GB1 Bar</vt:lpstr>
      <vt:lpstr>GB2 Bar</vt:lpstr>
      <vt:lpstr>CB1 Bar</vt:lpstr>
      <vt:lpstr>CB2 Bar</vt:lpstr>
      <vt:lpstr>CB3 Bar</vt:lpstr>
      <vt:lpstr>Spirits Room</vt:lpstr>
      <vt:lpstr>White Wine Fridge</vt:lpstr>
      <vt:lpstr>Lower Keg</vt:lpstr>
      <vt:lpstr>Botanical Storeroom</vt:lpstr>
      <vt:lpstr>Botanical Bar</vt:lpstr>
      <vt:lpstr>Loading Dock Fridge</vt:lpstr>
      <vt:lpstr>Postmix Loading Dock</vt:lpstr>
      <vt:lpstr>Postmix Lower Keg</vt:lpstr>
      <vt:lpstr>Postmix TWR</vt:lpstr>
      <vt:lpstr>MASTER STOCK LIST</vt:lpstr>
      <vt:lpstr>Other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Cedric Dos Santos</dc:creator>
  <cp:keywords/>
  <dc:description/>
  <cp:lastModifiedBy>Cedric Dos Santos</cp:lastModifiedBy>
  <cp:revision/>
  <dcterms:created xsi:type="dcterms:W3CDTF">2026-07-17T02:00:33Z</dcterms:created>
  <dcterms:modified xsi:type="dcterms:W3CDTF">2026-08-28T05:04:11Z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0x010100A6177A2561E51C478578C525CEBEB6D0</vt:lpwstr>
  </property>
</Properties>
</file>